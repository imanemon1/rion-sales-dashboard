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ION\"/>
    </mc:Choice>
  </mc:AlternateContent>
  <xr:revisionPtr revIDLastSave="0" documentId="13_ncr:1_{B68A20FD-2DD9-43CA-8875-051227D8D0B3}" xr6:coauthVersionLast="47" xr6:coauthVersionMax="47" xr10:uidLastSave="{00000000-0000-0000-0000-000000000000}"/>
  <bookViews>
    <workbookView xWindow="-108" yWindow="-108" windowWidth="23256" windowHeight="12576" tabRatio="1000" activeTab="8" xr2:uid="{00000000-000D-0000-FFFF-FFFF00000000}"/>
  </bookViews>
  <sheets>
    <sheet name="کاخ ولیعصر" sheetId="1" r:id="rId1"/>
    <sheet name="تهران" sheetId="5" r:id="rId2"/>
    <sheet name="شهرستان" sheetId="2" r:id="rId3"/>
    <sheet name="مشهد" sheetId="13" r:id="rId4"/>
    <sheet name="نماینده" sheetId="10" r:id="rId5"/>
    <sheet name="مازندران" sheetId="11" r:id="rId6"/>
    <sheet name="شیراز" sheetId="4" r:id="rId7"/>
    <sheet name="کرج" sheetId="3" r:id="rId8"/>
    <sheet name="جدید" sheetId="16" r:id="rId9"/>
    <sheet name="عبدل اباد" sheetId="12" r:id="rId10"/>
    <sheet name="گیلان" sheetId="14" r:id="rId11"/>
    <sheet name="دشتی گیلان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2" i="3" l="1"/>
  <c r="Q9" i="1"/>
  <c r="Q4" i="11"/>
  <c r="Q18" i="2"/>
  <c r="Q20" i="2"/>
  <c r="Q19" i="2"/>
  <c r="Q23" i="5"/>
  <c r="P22" i="16"/>
  <c r="O22" i="16"/>
  <c r="N22" i="16"/>
  <c r="M22" i="16"/>
  <c r="L22" i="16"/>
  <c r="K22" i="16"/>
  <c r="J22" i="16"/>
  <c r="I22" i="16"/>
  <c r="H22" i="16"/>
  <c r="G22" i="16"/>
  <c r="F22" i="16"/>
  <c r="E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Q2" i="16"/>
  <c r="R4" i="10"/>
  <c r="Q22" i="5"/>
  <c r="Q11" i="3"/>
  <c r="Q21" i="5"/>
  <c r="Q20" i="5"/>
  <c r="Q12" i="1"/>
  <c r="Q11" i="1"/>
  <c r="Q3" i="1"/>
  <c r="Q2" i="1"/>
  <c r="Q18" i="1"/>
  <c r="Q5" i="3"/>
  <c r="Q7" i="2"/>
  <c r="P7" i="15"/>
  <c r="O7" i="15"/>
  <c r="N7" i="15"/>
  <c r="M7" i="15"/>
  <c r="L7" i="15"/>
  <c r="K7" i="15"/>
  <c r="J7" i="15"/>
  <c r="I7" i="15"/>
  <c r="H7" i="15"/>
  <c r="G7" i="15"/>
  <c r="F7" i="15"/>
  <c r="E7" i="15"/>
  <c r="Q6" i="15"/>
  <c r="Q5" i="15"/>
  <c r="Q4" i="15"/>
  <c r="Q3" i="15"/>
  <c r="Q2" i="15"/>
  <c r="F22" i="2"/>
  <c r="Q17" i="2"/>
  <c r="Q16" i="2"/>
  <c r="F25" i="5"/>
  <c r="G25" i="5"/>
  <c r="Q19" i="5"/>
  <c r="Q13" i="1"/>
  <c r="Q14" i="1"/>
  <c r="Q15" i="1"/>
  <c r="Q16" i="1"/>
  <c r="Q17" i="1"/>
  <c r="Q19" i="1"/>
  <c r="Q20" i="1"/>
  <c r="Q21" i="1"/>
  <c r="Q22" i="1"/>
  <c r="Q23" i="1"/>
  <c r="E24" i="1"/>
  <c r="F24" i="1"/>
  <c r="G24" i="1"/>
  <c r="H24" i="1"/>
  <c r="I24" i="1"/>
  <c r="J24" i="1"/>
  <c r="K24" i="1"/>
  <c r="L24" i="1"/>
  <c r="M24" i="1"/>
  <c r="N24" i="1"/>
  <c r="O24" i="1"/>
  <c r="P24" i="1"/>
  <c r="Q15" i="11"/>
  <c r="Q2" i="11"/>
  <c r="Q22" i="11"/>
  <c r="G11" i="14"/>
  <c r="P6" i="10"/>
  <c r="E12" i="4"/>
  <c r="J11" i="13"/>
  <c r="I11" i="13"/>
  <c r="H11" i="13"/>
  <c r="G11" i="13"/>
  <c r="F11" i="13"/>
  <c r="E11" i="13"/>
  <c r="P11" i="13"/>
  <c r="O11" i="13"/>
  <c r="N11" i="13"/>
  <c r="M11" i="13"/>
  <c r="L11" i="13"/>
  <c r="K11" i="13"/>
  <c r="K8" i="12"/>
  <c r="L24" i="11"/>
  <c r="P24" i="11"/>
  <c r="O24" i="11"/>
  <c r="N24" i="11"/>
  <c r="M24" i="11"/>
  <c r="K24" i="11"/>
  <c r="J24" i="11"/>
  <c r="I24" i="11"/>
  <c r="H24" i="11"/>
  <c r="G24" i="11"/>
  <c r="F24" i="11"/>
  <c r="E24" i="11"/>
  <c r="G6" i="10"/>
  <c r="F14" i="3"/>
  <c r="F11" i="14"/>
  <c r="M25" i="5"/>
  <c r="E25" i="5"/>
  <c r="N6" i="10"/>
  <c r="Q18" i="5"/>
  <c r="Q17" i="5"/>
  <c r="Q10" i="4"/>
  <c r="Q9" i="4"/>
  <c r="Q21" i="11"/>
  <c r="Q20" i="11"/>
  <c r="Q19" i="11"/>
  <c r="Q18" i="11"/>
  <c r="Q17" i="11"/>
  <c r="Q16" i="11"/>
  <c r="P11" i="14"/>
  <c r="O11" i="14"/>
  <c r="N11" i="14"/>
  <c r="M11" i="14"/>
  <c r="L11" i="14"/>
  <c r="K11" i="14"/>
  <c r="J11" i="14"/>
  <c r="I11" i="14"/>
  <c r="H11" i="14"/>
  <c r="E11" i="14"/>
  <c r="Q10" i="14"/>
  <c r="Q9" i="14"/>
  <c r="Q8" i="14"/>
  <c r="Q7" i="14"/>
  <c r="Q6" i="14"/>
  <c r="Q5" i="14"/>
  <c r="Q4" i="14"/>
  <c r="Q3" i="14"/>
  <c r="Q2" i="14"/>
  <c r="Q22" i="16" l="1"/>
  <c r="Q7" i="15"/>
  <c r="Q11" i="14"/>
  <c r="K22" i="2"/>
  <c r="K12" i="4"/>
  <c r="Q6" i="11"/>
  <c r="Q6" i="1"/>
  <c r="Q10" i="13"/>
  <c r="Q3" i="3"/>
  <c r="Q23" i="11"/>
  <c r="Q3" i="11"/>
  <c r="Q8" i="4"/>
  <c r="Q7" i="1"/>
  <c r="Q24" i="5"/>
  <c r="Q16" i="5"/>
  <c r="Q14" i="5"/>
  <c r="Q12" i="5"/>
  <c r="Q9" i="5"/>
  <c r="Q7" i="5"/>
  <c r="Q5" i="5"/>
  <c r="Q4" i="5"/>
  <c r="Q15" i="5"/>
  <c r="Q13" i="5"/>
  <c r="Q11" i="5"/>
  <c r="Q10" i="5"/>
  <c r="Q8" i="5"/>
  <c r="Q6" i="5"/>
  <c r="Q3" i="5"/>
  <c r="Q2" i="5"/>
  <c r="Q4" i="1"/>
  <c r="P12" i="4"/>
  <c r="O12" i="4"/>
  <c r="N12" i="4"/>
  <c r="M12" i="4"/>
  <c r="L12" i="4"/>
  <c r="J12" i="4"/>
  <c r="I12" i="4"/>
  <c r="H12" i="4"/>
  <c r="G12" i="4"/>
  <c r="F12" i="4"/>
  <c r="Q11" i="4"/>
  <c r="Q7" i="4"/>
  <c r="Q6" i="4"/>
  <c r="Q5" i="4"/>
  <c r="Q4" i="4"/>
  <c r="Q3" i="4"/>
  <c r="Q2" i="4"/>
  <c r="Q9" i="13"/>
  <c r="Q8" i="13"/>
  <c r="Q7" i="13"/>
  <c r="Q6" i="13"/>
  <c r="Q5" i="13"/>
  <c r="Q4" i="13"/>
  <c r="Q3" i="13"/>
  <c r="Q2" i="13"/>
  <c r="P8" i="12"/>
  <c r="O8" i="12"/>
  <c r="N8" i="12"/>
  <c r="M8" i="12"/>
  <c r="L8" i="12"/>
  <c r="J8" i="12"/>
  <c r="I8" i="12"/>
  <c r="H8" i="12"/>
  <c r="G8" i="12"/>
  <c r="F8" i="12"/>
  <c r="E8" i="12"/>
  <c r="Q7" i="12"/>
  <c r="Q6" i="12"/>
  <c r="Q5" i="12"/>
  <c r="Q4" i="12"/>
  <c r="Q3" i="12"/>
  <c r="Q2" i="12"/>
  <c r="Q14" i="11"/>
  <c r="Q13" i="11"/>
  <c r="Q12" i="11"/>
  <c r="Q11" i="11"/>
  <c r="Q10" i="11"/>
  <c r="Q9" i="11"/>
  <c r="Q8" i="11"/>
  <c r="Q7" i="11"/>
  <c r="Q5" i="11"/>
  <c r="R2" i="10"/>
  <c r="R5" i="10"/>
  <c r="R3" i="10"/>
  <c r="F6" i="10"/>
  <c r="H6" i="10"/>
  <c r="I6" i="10"/>
  <c r="J6" i="10"/>
  <c r="K6" i="10"/>
  <c r="L6" i="10"/>
  <c r="M6" i="10"/>
  <c r="O6" i="10"/>
  <c r="Q6" i="10"/>
  <c r="P14" i="3"/>
  <c r="O14" i="3"/>
  <c r="N14" i="3"/>
  <c r="M14" i="3"/>
  <c r="L14" i="3"/>
  <c r="K14" i="3"/>
  <c r="J14" i="3"/>
  <c r="I14" i="3"/>
  <c r="H14" i="3"/>
  <c r="G14" i="3"/>
  <c r="E14" i="3"/>
  <c r="Q13" i="3"/>
  <c r="Q10" i="3"/>
  <c r="Q9" i="3"/>
  <c r="Q14" i="3" s="1"/>
  <c r="Q8" i="3"/>
  <c r="Q7" i="3"/>
  <c r="Q6" i="3"/>
  <c r="Q4" i="3"/>
  <c r="Q2" i="3"/>
  <c r="P22" i="2"/>
  <c r="O22" i="2"/>
  <c r="N22" i="2"/>
  <c r="M22" i="2"/>
  <c r="L22" i="2"/>
  <c r="J22" i="2"/>
  <c r="I22" i="2"/>
  <c r="H22" i="2"/>
  <c r="G22" i="2"/>
  <c r="E22" i="2"/>
  <c r="Q21" i="2"/>
  <c r="Q15" i="2"/>
  <c r="Q14" i="2"/>
  <c r="Q13" i="2"/>
  <c r="Q12" i="2"/>
  <c r="Q11" i="2"/>
  <c r="Q10" i="2"/>
  <c r="Q9" i="2"/>
  <c r="Q8" i="2"/>
  <c r="Q6" i="2"/>
  <c r="Q5" i="2"/>
  <c r="Q4" i="2"/>
  <c r="Q3" i="2"/>
  <c r="Q2" i="2"/>
  <c r="Q10" i="1"/>
  <c r="Q8" i="1"/>
  <c r="Q5" i="1"/>
  <c r="P25" i="5"/>
  <c r="O25" i="5"/>
  <c r="N25" i="5"/>
  <c r="L25" i="5"/>
  <c r="K25" i="5"/>
  <c r="J25" i="5"/>
  <c r="I25" i="5"/>
  <c r="H25" i="5"/>
  <c r="Q25" i="5" l="1"/>
  <c r="Q24" i="1"/>
  <c r="Q22" i="2"/>
  <c r="Q24" i="11"/>
  <c r="Q12" i="4"/>
  <c r="Q11" i="13"/>
  <c r="Q8" i="12"/>
  <c r="R6" i="10"/>
</calcChain>
</file>

<file path=xl/sharedStrings.xml><?xml version="1.0" encoding="utf-8"?>
<sst xmlns="http://schemas.openxmlformats.org/spreadsheetml/2006/main" count="396" uniqueCount="183">
  <si>
    <t>ردیف</t>
  </si>
  <si>
    <t>نام مغازه</t>
  </si>
  <si>
    <t>بوک</t>
  </si>
  <si>
    <t>گل بانو-شرق</t>
  </si>
  <si>
    <t>راستی-مهربان</t>
  </si>
  <si>
    <t>چلیپا-رضایی</t>
  </si>
  <si>
    <t>نوین-فرشاد</t>
  </si>
  <si>
    <t>اردهالی</t>
  </si>
  <si>
    <t>دوک-مجتبی</t>
  </si>
  <si>
    <t>جمع ماه</t>
  </si>
  <si>
    <t>مهدی علمداری</t>
  </si>
  <si>
    <t>سحر رشت</t>
  </si>
  <si>
    <t>مجلل-سیرجان</t>
  </si>
  <si>
    <t>ظهیری-دذفول</t>
  </si>
  <si>
    <t>پدیده-یزد</t>
  </si>
  <si>
    <t>خاوریان-تبریز</t>
  </si>
  <si>
    <t>شمس افرا</t>
  </si>
  <si>
    <t>تاچ شریعتی</t>
  </si>
  <si>
    <t>جمع</t>
  </si>
  <si>
    <t>هارمونی</t>
  </si>
  <si>
    <t>الیزابت</t>
  </si>
  <si>
    <t>دل آزرده</t>
  </si>
  <si>
    <t>جمع کل</t>
  </si>
  <si>
    <t>نورا</t>
  </si>
  <si>
    <t>آرین</t>
  </si>
  <si>
    <t>بخشی زاده</t>
  </si>
  <si>
    <t>سپهری(تعهدی)</t>
  </si>
  <si>
    <t>دانتل</t>
  </si>
  <si>
    <t xml:space="preserve">ترندیس </t>
  </si>
  <si>
    <t xml:space="preserve"> لوکس</t>
  </si>
  <si>
    <t>ملک</t>
  </si>
  <si>
    <t>زیگورات</t>
  </si>
  <si>
    <t>کنت</t>
  </si>
  <si>
    <t>گل سرخ فخرآباد</t>
  </si>
  <si>
    <t>ایزدی</t>
  </si>
  <si>
    <t>اشل</t>
  </si>
  <si>
    <t>مستجابی</t>
  </si>
  <si>
    <t>دکوراسیون الیزه</t>
  </si>
  <si>
    <t xml:space="preserve">پاشا </t>
  </si>
  <si>
    <t>پاسارگاد</t>
  </si>
  <si>
    <t>شفق هروی</t>
  </si>
  <si>
    <t>آرمانی شریعتی</t>
  </si>
  <si>
    <t>اکسیرشریعتی</t>
  </si>
  <si>
    <t>سورینت</t>
  </si>
  <si>
    <t>آرتمیس</t>
  </si>
  <si>
    <t>کاج سعادت آباد</t>
  </si>
  <si>
    <t>غلامی (برد سکن)</t>
  </si>
  <si>
    <t>ابریشم</t>
  </si>
  <si>
    <t>تیفانی-رحیمی</t>
  </si>
  <si>
    <t>مانلی</t>
  </si>
  <si>
    <t>ملینا</t>
  </si>
  <si>
    <t>پرسان دولت</t>
  </si>
  <si>
    <t>پرچین فتح آبادی</t>
  </si>
  <si>
    <t>سعید روشندلان</t>
  </si>
  <si>
    <t>AMOUR-4</t>
  </si>
  <si>
    <t>ACO-3</t>
  </si>
  <si>
    <t>TWIST-4</t>
  </si>
  <si>
    <t>جام زرین</t>
  </si>
  <si>
    <t>RION-3</t>
  </si>
  <si>
    <t>NIKA-4</t>
  </si>
  <si>
    <t>NIKA-3</t>
  </si>
  <si>
    <t>ACO-4</t>
  </si>
  <si>
    <t>RION-4</t>
  </si>
  <si>
    <t>ADOR-3</t>
  </si>
  <si>
    <t>الماس سفید</t>
  </si>
  <si>
    <t>برند-گرگان</t>
  </si>
  <si>
    <t>اشکان-ساری</t>
  </si>
  <si>
    <t>رویال-ساری</t>
  </si>
  <si>
    <t>ولیعصر-بابل</t>
  </si>
  <si>
    <t>سینلی-امل</t>
  </si>
  <si>
    <t>دیزاین-امل</t>
  </si>
  <si>
    <t>ژیوان-امل</t>
  </si>
  <si>
    <t>تهرانچیان-امل</t>
  </si>
  <si>
    <t>فلاح-نور</t>
  </si>
  <si>
    <t>خادمی-چالوس</t>
  </si>
  <si>
    <t>ADOR-4</t>
  </si>
  <si>
    <t>1402+ADOR</t>
  </si>
  <si>
    <t>کیهان منش-تبریز</t>
  </si>
  <si>
    <t>آرایه شریعتی(اسمی)</t>
  </si>
  <si>
    <t>کاخ</t>
  </si>
  <si>
    <t>پارامیس</t>
  </si>
  <si>
    <t>دنیز میانجاده</t>
  </si>
  <si>
    <t>کلاسیک-گرگان</t>
  </si>
  <si>
    <t>اویم رشت</t>
  </si>
  <si>
    <t>پردیران</t>
  </si>
  <si>
    <t>تیسو</t>
  </si>
  <si>
    <t>یونیک مینیسیتی</t>
  </si>
  <si>
    <t>دوک زعفرانیه</t>
  </si>
  <si>
    <t>صدف ستارخان</t>
  </si>
  <si>
    <t>سامی مریوان</t>
  </si>
  <si>
    <t>علی دشتی</t>
  </si>
  <si>
    <t>هالین</t>
  </si>
  <si>
    <t>ویکتوریا ساری</t>
  </si>
  <si>
    <t>ماهریس</t>
  </si>
  <si>
    <t>استوان کازرون</t>
  </si>
  <si>
    <t>کوردستان پرده</t>
  </si>
  <si>
    <t>صداقت ماندگار</t>
  </si>
  <si>
    <t>رز اسکربن رشت</t>
  </si>
  <si>
    <t>شیک رشت</t>
  </si>
  <si>
    <t>پریماکو انزلی</t>
  </si>
  <si>
    <t>کنت انزلی</t>
  </si>
  <si>
    <t>خانه شاهانه رشت</t>
  </si>
  <si>
    <t>ریوا همدان</t>
  </si>
  <si>
    <t>بلو درختی</t>
  </si>
  <si>
    <t>AMUR-4</t>
  </si>
  <si>
    <t xml:space="preserve">رخشانی </t>
  </si>
  <si>
    <t>گاندی</t>
  </si>
  <si>
    <t>گولدن هوم یزد</t>
  </si>
  <si>
    <t>اسماعیلی خیاط</t>
  </si>
  <si>
    <t>نوین لواسان</t>
  </si>
  <si>
    <t>آرکا اکباتان</t>
  </si>
  <si>
    <t>مالکی استودیو</t>
  </si>
  <si>
    <t>مشاری</t>
  </si>
  <si>
    <t>اشکان کامیاران</t>
  </si>
  <si>
    <t>عروس سنندج</t>
  </si>
  <si>
    <t>شانل کمالشهر</t>
  </si>
  <si>
    <t>هنگر</t>
  </si>
  <si>
    <t>خانه پرده قزوین</t>
  </si>
  <si>
    <t xml:space="preserve">بلریان </t>
  </si>
  <si>
    <t>مهران آذربایجان</t>
  </si>
  <si>
    <t>MARCO-5</t>
  </si>
  <si>
    <t>STAR-5</t>
  </si>
  <si>
    <t>SOFT-5</t>
  </si>
  <si>
    <t>DELVAN</t>
  </si>
  <si>
    <t>ETHER-5</t>
  </si>
  <si>
    <t>WOWEN-5</t>
  </si>
  <si>
    <t>VEIL-5</t>
  </si>
  <si>
    <t>دکوچین-چالوس</t>
  </si>
  <si>
    <t>ال سی هوم</t>
  </si>
  <si>
    <t>دایار-نکا</t>
  </si>
  <si>
    <t>پدیده-بابل</t>
  </si>
  <si>
    <t>اویم-آمل</t>
  </si>
  <si>
    <t>الماس شهر-محمود آباد</t>
  </si>
  <si>
    <t>اورس-بابل</t>
  </si>
  <si>
    <t>شهر دکور-ساری</t>
  </si>
  <si>
    <t>آکاژو-نوشهر</t>
  </si>
  <si>
    <t>SILK-5</t>
  </si>
  <si>
    <t>ACO-5</t>
  </si>
  <si>
    <t>STARRION-5</t>
  </si>
  <si>
    <t>ویکتوریا</t>
  </si>
  <si>
    <t>SOFTRION-5</t>
  </si>
  <si>
    <t xml:space="preserve"> مدنو بوستان</t>
  </si>
  <si>
    <t>تحصیلی</t>
  </si>
  <si>
    <t>محمودی</t>
  </si>
  <si>
    <t>بوک-4</t>
  </si>
  <si>
    <t>بوک-5</t>
  </si>
  <si>
    <t>محتاجی اردبیل</t>
  </si>
  <si>
    <t>داوود مرادی ساوه</t>
  </si>
  <si>
    <t>ملورین-سمنان</t>
  </si>
  <si>
    <t>ابریشم-خوزستان</t>
  </si>
  <si>
    <t>مهران تختی</t>
  </si>
  <si>
    <t>کوماش</t>
  </si>
  <si>
    <t>رز اسکرین</t>
  </si>
  <si>
    <t>قربانی دماوند</t>
  </si>
  <si>
    <t>الوین</t>
  </si>
  <si>
    <t>روشا</t>
  </si>
  <si>
    <t>کشمیر</t>
  </si>
  <si>
    <t>آریس</t>
  </si>
  <si>
    <t>اطلس</t>
  </si>
  <si>
    <t>آرتیران</t>
  </si>
  <si>
    <t>سپهری-پالادیوم</t>
  </si>
  <si>
    <t>صمصام</t>
  </si>
  <si>
    <t>ایده کرج</t>
  </si>
  <si>
    <t>مرتضی بقایی</t>
  </si>
  <si>
    <t>شرابه لنگرود</t>
  </si>
  <si>
    <t>rion3</t>
  </si>
  <si>
    <t>نفیس لرستان(نوری)</t>
  </si>
  <si>
    <t>فرشته پارک وی(داوودپور)</t>
  </si>
  <si>
    <t>قائم شهرک راه آهن</t>
  </si>
  <si>
    <t>AMUOR-4</t>
  </si>
  <si>
    <t>ثامن نجف آباد(رحیمیها)</t>
  </si>
  <si>
    <t>اویم قزوین(قفوری)</t>
  </si>
  <si>
    <t>فامیلی ساری</t>
  </si>
  <si>
    <t>درخشان اندیشه</t>
  </si>
  <si>
    <t>رز اراک</t>
  </si>
  <si>
    <t>نوروزی تهران</t>
  </si>
  <si>
    <t>ترمه رشت(مسلمی)</t>
  </si>
  <si>
    <t>سما</t>
  </si>
  <si>
    <t>کوکون مورکسی</t>
  </si>
  <si>
    <t>طبرسا</t>
  </si>
  <si>
    <t>قادریان</t>
  </si>
  <si>
    <t>ابریشم گنبد کاووس</t>
  </si>
  <si>
    <t>دکورا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</si>
</sst>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4" fillId="3" borderId="10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4" fontId="9" fillId="7" borderId="1" xfId="0" applyNumberFormat="1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4" fontId="7" fillId="7" borderId="10" xfId="0" applyNumberFormat="1" applyFont="1" applyFill="1" applyBorder="1" applyAlignment="1">
      <alignment horizontal="center" vertical="center"/>
    </xf>
    <xf numFmtId="0" fontId="4" fillId="7" borderId="10" xfId="0" applyNumberFormat="1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rightToLeft="1" zoomScaleNormal="100" workbookViewId="0">
      <selection activeCell="K22" sqref="K22"/>
    </sheetView>
  </sheetViews>
  <sheetFormatPr defaultColWidth="8.88671875" defaultRowHeight="14.4" x14ac:dyDescent="0.3"/>
  <cols>
    <col min="1" max="1" width="5" style="1" customWidth="1"/>
    <col min="2" max="2" width="15.109375" style="1" customWidth="1"/>
    <col min="3" max="3" width="10.109375" style="1" customWidth="1"/>
    <col min="4" max="4" width="11.88671875" style="1" customWidth="1"/>
    <col min="5" max="16" width="5.109375" style="1" customWidth="1"/>
    <col min="17" max="16384" width="8.88671875" style="1"/>
  </cols>
  <sheetData>
    <row r="1" spans="1:17" ht="20.25" customHeight="1" x14ac:dyDescent="0.3">
      <c r="A1" s="12" t="s">
        <v>0</v>
      </c>
      <c r="B1" s="12" t="s">
        <v>1</v>
      </c>
      <c r="C1" s="12" t="s">
        <v>116</v>
      </c>
      <c r="D1" s="12" t="s">
        <v>2</v>
      </c>
      <c r="E1" s="32">
        <v>1</v>
      </c>
      <c r="F1" s="32">
        <v>2</v>
      </c>
      <c r="G1" s="32">
        <v>3</v>
      </c>
      <c r="H1" s="32">
        <v>4</v>
      </c>
      <c r="I1" s="32">
        <v>5</v>
      </c>
      <c r="J1" s="32">
        <v>6</v>
      </c>
      <c r="K1" s="32">
        <v>7</v>
      </c>
      <c r="L1" s="32">
        <v>8</v>
      </c>
      <c r="M1" s="32">
        <v>9</v>
      </c>
      <c r="N1" s="32">
        <v>10</v>
      </c>
      <c r="O1" s="32">
        <v>11</v>
      </c>
      <c r="P1" s="32">
        <v>12</v>
      </c>
      <c r="Q1" s="32" t="s">
        <v>18</v>
      </c>
    </row>
    <row r="2" spans="1:17" ht="20.25" customHeight="1" x14ac:dyDescent="0.3">
      <c r="A2" s="56">
        <v>1</v>
      </c>
      <c r="B2" s="56" t="s">
        <v>155</v>
      </c>
      <c r="C2" s="56"/>
      <c r="D2" s="56" t="s">
        <v>125</v>
      </c>
      <c r="E2" s="56"/>
      <c r="F2" s="56"/>
      <c r="G2" s="56"/>
      <c r="H2" s="56"/>
      <c r="I2" s="56">
        <v>0</v>
      </c>
      <c r="J2" s="56">
        <v>52.6</v>
      </c>
      <c r="K2" s="56">
        <v>22</v>
      </c>
      <c r="L2" s="56"/>
      <c r="M2" s="56"/>
      <c r="N2" s="56"/>
      <c r="O2" s="56"/>
      <c r="P2" s="56"/>
      <c r="Q2" s="57">
        <f t="shared" ref="Q2:Q22" si="0">SUM(E2:P2)</f>
        <v>74.599999999999994</v>
      </c>
    </row>
    <row r="3" spans="1:17" ht="20.25" customHeight="1" x14ac:dyDescent="0.3">
      <c r="A3" s="12">
        <v>2</v>
      </c>
      <c r="B3" s="12" t="s">
        <v>156</v>
      </c>
      <c r="C3" s="12" t="s">
        <v>123</v>
      </c>
      <c r="D3" s="12"/>
      <c r="E3" s="12"/>
      <c r="F3" s="12"/>
      <c r="G3" s="12"/>
      <c r="H3" s="12"/>
      <c r="I3" s="12">
        <v>0</v>
      </c>
      <c r="J3" s="12">
        <v>9.6</v>
      </c>
      <c r="K3" s="12">
        <v>0</v>
      </c>
      <c r="L3" s="12"/>
      <c r="M3" s="12"/>
      <c r="N3" s="12"/>
      <c r="O3" s="12"/>
      <c r="P3" s="12"/>
      <c r="Q3" s="20">
        <f t="shared" si="0"/>
        <v>9.6</v>
      </c>
    </row>
    <row r="4" spans="1:17" ht="19.5" customHeight="1" x14ac:dyDescent="0.3">
      <c r="A4" s="56">
        <v>3</v>
      </c>
      <c r="B4" s="56" t="s">
        <v>39</v>
      </c>
      <c r="C4" s="58"/>
      <c r="D4" s="59" t="s">
        <v>122</v>
      </c>
      <c r="E4" s="56">
        <v>0</v>
      </c>
      <c r="F4" s="56">
        <v>33</v>
      </c>
      <c r="G4" s="56">
        <v>0</v>
      </c>
      <c r="H4" s="56">
        <v>0</v>
      </c>
      <c r="I4" s="56">
        <v>80</v>
      </c>
      <c r="J4" s="56">
        <v>0</v>
      </c>
      <c r="K4" s="56">
        <v>49</v>
      </c>
      <c r="L4" s="56"/>
      <c r="M4" s="56"/>
      <c r="N4" s="56"/>
      <c r="O4" s="56"/>
      <c r="P4" s="56"/>
      <c r="Q4" s="57">
        <f t="shared" si="0"/>
        <v>162</v>
      </c>
    </row>
    <row r="5" spans="1:17" ht="19.5" customHeight="1" x14ac:dyDescent="0.3">
      <c r="A5" s="12">
        <v>4</v>
      </c>
      <c r="B5" s="12" t="s">
        <v>3</v>
      </c>
      <c r="C5" s="24" t="s">
        <v>123</v>
      </c>
      <c r="D5" s="31" t="s">
        <v>54</v>
      </c>
      <c r="E5" s="12">
        <v>15.5</v>
      </c>
      <c r="F5" s="12">
        <v>0</v>
      </c>
      <c r="G5" s="12">
        <v>0</v>
      </c>
      <c r="H5" s="12">
        <v>7</v>
      </c>
      <c r="I5" s="12">
        <v>0</v>
      </c>
      <c r="J5" s="12">
        <v>51.8</v>
      </c>
      <c r="K5" s="12">
        <v>29.6</v>
      </c>
      <c r="L5" s="12"/>
      <c r="M5" s="12"/>
      <c r="N5" s="12"/>
      <c r="O5" s="12"/>
      <c r="P5" s="12"/>
      <c r="Q5" s="20">
        <f t="shared" si="0"/>
        <v>103.9</v>
      </c>
    </row>
    <row r="6" spans="1:17" ht="19.5" customHeight="1" x14ac:dyDescent="0.3">
      <c r="A6" s="56">
        <v>5</v>
      </c>
      <c r="B6" s="56" t="s">
        <v>85</v>
      </c>
      <c r="C6" s="58"/>
      <c r="D6" s="59" t="s">
        <v>121</v>
      </c>
      <c r="E6" s="56">
        <v>11.5</v>
      </c>
      <c r="F6" s="56">
        <v>20.7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/>
      <c r="M6" s="56"/>
      <c r="N6" s="56"/>
      <c r="O6" s="56"/>
      <c r="P6" s="56"/>
      <c r="Q6" s="57">
        <f t="shared" si="0"/>
        <v>32.200000000000003</v>
      </c>
    </row>
    <row r="7" spans="1:17" ht="19.5" customHeight="1" x14ac:dyDescent="0.3">
      <c r="A7" s="12">
        <v>6</v>
      </c>
      <c r="B7" s="12" t="s">
        <v>47</v>
      </c>
      <c r="C7" s="24"/>
      <c r="D7" s="31" t="s">
        <v>59</v>
      </c>
      <c r="E7" s="12">
        <v>0</v>
      </c>
      <c r="F7" s="12">
        <v>0</v>
      </c>
      <c r="G7" s="12">
        <v>7.6</v>
      </c>
      <c r="H7" s="12">
        <v>0</v>
      </c>
      <c r="I7" s="12">
        <v>7.4</v>
      </c>
      <c r="J7" s="12">
        <v>9.1999999999999993</v>
      </c>
      <c r="K7" s="12">
        <v>0</v>
      </c>
      <c r="L7" s="12"/>
      <c r="M7" s="12"/>
      <c r="N7" s="12"/>
      <c r="O7" s="12"/>
      <c r="P7" s="12"/>
      <c r="Q7" s="20">
        <f t="shared" si="0"/>
        <v>24.2</v>
      </c>
    </row>
    <row r="8" spans="1:17" ht="19.5" customHeight="1" x14ac:dyDescent="0.3">
      <c r="A8" s="56">
        <v>7</v>
      </c>
      <c r="B8" s="56" t="s">
        <v>4</v>
      </c>
      <c r="C8" s="58"/>
      <c r="D8" s="59" t="s">
        <v>136</v>
      </c>
      <c r="E8" s="56">
        <v>21</v>
      </c>
      <c r="F8" s="56">
        <v>17</v>
      </c>
      <c r="G8" s="56">
        <v>13.2</v>
      </c>
      <c r="H8" s="56">
        <v>7</v>
      </c>
      <c r="I8" s="56">
        <v>13.6</v>
      </c>
      <c r="J8" s="56">
        <v>26.6</v>
      </c>
      <c r="K8" s="56">
        <v>10</v>
      </c>
      <c r="L8" s="56"/>
      <c r="M8" s="56"/>
      <c r="N8" s="56"/>
      <c r="O8" s="56"/>
      <c r="P8" s="56"/>
      <c r="Q8" s="57">
        <f t="shared" si="0"/>
        <v>108.4</v>
      </c>
    </row>
    <row r="9" spans="1:17" ht="19.5" customHeight="1" x14ac:dyDescent="0.3">
      <c r="A9" s="12">
        <v>8</v>
      </c>
      <c r="B9" s="12" t="s">
        <v>182</v>
      </c>
      <c r="C9" s="24"/>
      <c r="D9" s="31" t="s">
        <v>126</v>
      </c>
      <c r="E9" s="12"/>
      <c r="F9" s="12"/>
      <c r="G9" s="12"/>
      <c r="H9" s="12"/>
      <c r="I9" s="12"/>
      <c r="J9" s="12"/>
      <c r="K9" s="12">
        <v>0</v>
      </c>
      <c r="L9" s="12"/>
      <c r="M9" s="12"/>
      <c r="N9" s="12"/>
      <c r="O9" s="12"/>
      <c r="P9" s="12"/>
      <c r="Q9" s="20">
        <f t="shared" si="0"/>
        <v>0</v>
      </c>
    </row>
    <row r="10" spans="1:17" ht="19.5" customHeight="1" x14ac:dyDescent="0.3">
      <c r="A10" s="72">
        <v>9</v>
      </c>
      <c r="B10" s="72" t="s">
        <v>5</v>
      </c>
      <c r="C10" s="73"/>
      <c r="D10" s="74" t="s">
        <v>136</v>
      </c>
      <c r="E10" s="72">
        <v>0</v>
      </c>
      <c r="F10" s="72">
        <v>36</v>
      </c>
      <c r="G10" s="72">
        <v>26</v>
      </c>
      <c r="H10" s="72">
        <v>0</v>
      </c>
      <c r="I10" s="72">
        <v>22</v>
      </c>
      <c r="J10" s="72">
        <v>14.5</v>
      </c>
      <c r="K10" s="72">
        <v>11.6</v>
      </c>
      <c r="L10" s="72"/>
      <c r="M10" s="72"/>
      <c r="N10" s="72"/>
      <c r="O10" s="72"/>
      <c r="P10" s="72"/>
      <c r="Q10" s="75">
        <f t="shared" si="0"/>
        <v>110.1</v>
      </c>
    </row>
    <row r="11" spans="1:17" ht="19.5" customHeight="1" x14ac:dyDescent="0.3">
      <c r="A11" s="12">
        <v>10</v>
      </c>
      <c r="B11" s="12" t="s">
        <v>157</v>
      </c>
      <c r="C11" s="24"/>
      <c r="D11" s="31" t="s">
        <v>126</v>
      </c>
      <c r="E11" s="12"/>
      <c r="F11" s="12"/>
      <c r="G11" s="12"/>
      <c r="H11" s="12"/>
      <c r="I11" s="12">
        <v>6.5</v>
      </c>
      <c r="J11" s="12">
        <v>65</v>
      </c>
      <c r="K11" s="12">
        <v>0</v>
      </c>
      <c r="L11" s="12"/>
      <c r="M11" s="12"/>
      <c r="N11" s="12"/>
      <c r="O11" s="12"/>
      <c r="P11" s="12"/>
      <c r="Q11" s="20">
        <f t="shared" si="0"/>
        <v>71.5</v>
      </c>
    </row>
    <row r="12" spans="1:17" ht="19.5" customHeight="1" x14ac:dyDescent="0.3">
      <c r="A12" s="72">
        <v>11</v>
      </c>
      <c r="B12" s="72" t="s">
        <v>158</v>
      </c>
      <c r="C12" s="73"/>
      <c r="D12" s="74" t="s">
        <v>61</v>
      </c>
      <c r="E12" s="72"/>
      <c r="F12" s="72"/>
      <c r="G12" s="72"/>
      <c r="H12" s="72"/>
      <c r="I12" s="72">
        <v>12.7</v>
      </c>
      <c r="J12" s="72">
        <v>16.2</v>
      </c>
      <c r="K12" s="72">
        <v>0</v>
      </c>
      <c r="L12" s="72"/>
      <c r="M12" s="72"/>
      <c r="N12" s="72"/>
      <c r="O12" s="72"/>
      <c r="P12" s="72"/>
      <c r="Q12" s="75">
        <f t="shared" si="0"/>
        <v>28.9</v>
      </c>
    </row>
    <row r="13" spans="1:17" ht="19.5" customHeight="1" x14ac:dyDescent="0.3">
      <c r="A13" s="12">
        <v>12</v>
      </c>
      <c r="B13" s="12" t="s">
        <v>139</v>
      </c>
      <c r="C13" s="24" t="s">
        <v>123</v>
      </c>
      <c r="D13" s="31" t="s">
        <v>54</v>
      </c>
      <c r="E13" s="12"/>
      <c r="F13" s="12"/>
      <c r="G13" s="12"/>
      <c r="H13" s="12">
        <v>25</v>
      </c>
      <c r="I13" s="12">
        <v>20</v>
      </c>
      <c r="J13" s="12">
        <v>95.3</v>
      </c>
      <c r="K13" s="12">
        <v>0</v>
      </c>
      <c r="L13" s="12"/>
      <c r="M13" s="12"/>
      <c r="N13" s="12"/>
      <c r="O13" s="12"/>
      <c r="P13" s="12"/>
      <c r="Q13" s="20">
        <f t="shared" si="0"/>
        <v>140.30000000000001</v>
      </c>
    </row>
    <row r="14" spans="1:17" ht="19.5" customHeight="1" x14ac:dyDescent="0.3">
      <c r="A14" s="72">
        <v>13</v>
      </c>
      <c r="B14" s="72" t="s">
        <v>6</v>
      </c>
      <c r="C14" s="73"/>
      <c r="D14" s="74" t="s">
        <v>126</v>
      </c>
      <c r="E14" s="72">
        <v>0</v>
      </c>
      <c r="F14" s="72">
        <v>39.700000000000003</v>
      </c>
      <c r="G14" s="72">
        <v>50</v>
      </c>
      <c r="H14" s="72">
        <v>37</v>
      </c>
      <c r="I14" s="72">
        <v>26.8</v>
      </c>
      <c r="J14" s="72">
        <v>14.5</v>
      </c>
      <c r="K14" s="72">
        <v>23.8</v>
      </c>
      <c r="L14" s="72"/>
      <c r="M14" s="72"/>
      <c r="N14" s="72"/>
      <c r="O14" s="72"/>
      <c r="P14" s="72"/>
      <c r="Q14" s="75">
        <f t="shared" si="0"/>
        <v>191.8</v>
      </c>
    </row>
    <row r="15" spans="1:17" ht="19.5" customHeight="1" x14ac:dyDescent="0.3">
      <c r="A15" s="12">
        <v>14</v>
      </c>
      <c r="B15" s="12" t="s">
        <v>7</v>
      </c>
      <c r="C15" s="24"/>
      <c r="D15" s="31" t="s">
        <v>137</v>
      </c>
      <c r="E15" s="12">
        <v>0</v>
      </c>
      <c r="F15" s="12">
        <v>0</v>
      </c>
      <c r="G15" s="12">
        <v>29</v>
      </c>
      <c r="H15" s="12">
        <v>22</v>
      </c>
      <c r="I15" s="12">
        <v>0</v>
      </c>
      <c r="J15" s="12">
        <v>17</v>
      </c>
      <c r="K15" s="12">
        <v>22.3</v>
      </c>
      <c r="L15" s="12"/>
      <c r="M15" s="12"/>
      <c r="N15" s="12"/>
      <c r="O15" s="12"/>
      <c r="P15" s="12"/>
      <c r="Q15" s="20">
        <f t="shared" si="0"/>
        <v>90.3</v>
      </c>
    </row>
    <row r="16" spans="1:17" ht="19.5" customHeight="1" x14ac:dyDescent="0.3">
      <c r="A16" s="72">
        <v>15</v>
      </c>
      <c r="B16" s="72" t="s">
        <v>8</v>
      </c>
      <c r="C16" s="73"/>
      <c r="D16" s="74" t="s">
        <v>120</v>
      </c>
      <c r="E16" s="72">
        <v>0</v>
      </c>
      <c r="F16" s="72">
        <v>3.9</v>
      </c>
      <c r="G16" s="72">
        <v>138</v>
      </c>
      <c r="H16" s="72">
        <v>10</v>
      </c>
      <c r="I16" s="72">
        <v>31</v>
      </c>
      <c r="J16" s="72">
        <v>0</v>
      </c>
      <c r="K16" s="72">
        <v>0</v>
      </c>
      <c r="L16" s="72"/>
      <c r="M16" s="72"/>
      <c r="N16" s="72"/>
      <c r="O16" s="72"/>
      <c r="P16" s="72"/>
      <c r="Q16" s="75">
        <f t="shared" si="0"/>
        <v>182.9</v>
      </c>
    </row>
    <row r="17" spans="1:17" ht="19.5" customHeight="1" x14ac:dyDescent="0.3">
      <c r="A17" s="12">
        <v>16</v>
      </c>
      <c r="B17" s="12" t="s">
        <v>84</v>
      </c>
      <c r="C17" s="24"/>
      <c r="D17" s="31" t="s">
        <v>121</v>
      </c>
      <c r="E17" s="12">
        <v>0</v>
      </c>
      <c r="F17" s="12">
        <v>0</v>
      </c>
      <c r="G17" s="12">
        <v>25</v>
      </c>
      <c r="H17" s="12">
        <v>5</v>
      </c>
      <c r="I17" s="12">
        <v>83</v>
      </c>
      <c r="J17" s="12">
        <v>0</v>
      </c>
      <c r="K17" s="12">
        <v>0</v>
      </c>
      <c r="L17" s="12"/>
      <c r="M17" s="12"/>
      <c r="N17" s="12"/>
      <c r="O17" s="12"/>
      <c r="P17" s="12"/>
      <c r="Q17" s="20">
        <f t="shared" si="0"/>
        <v>113</v>
      </c>
    </row>
    <row r="18" spans="1:17" ht="19.5" customHeight="1" x14ac:dyDescent="0.3">
      <c r="A18" s="72">
        <v>17</v>
      </c>
      <c r="B18" s="72" t="s">
        <v>152</v>
      </c>
      <c r="C18" s="73"/>
      <c r="D18" s="74"/>
      <c r="E18" s="72"/>
      <c r="F18" s="72"/>
      <c r="G18" s="72"/>
      <c r="H18" s="72">
        <v>19</v>
      </c>
      <c r="I18" s="72">
        <v>0</v>
      </c>
      <c r="J18" s="72">
        <v>23.5</v>
      </c>
      <c r="K18" s="72">
        <v>0</v>
      </c>
      <c r="L18" s="72"/>
      <c r="M18" s="72"/>
      <c r="N18" s="72"/>
      <c r="O18" s="72"/>
      <c r="P18" s="72"/>
      <c r="Q18" s="75">
        <f t="shared" ref="Q18:Q19" si="1">SUM(E18:P18)</f>
        <v>42.5</v>
      </c>
    </row>
    <row r="19" spans="1:17" ht="19.5" customHeight="1" x14ac:dyDescent="0.3">
      <c r="A19" s="12">
        <v>18</v>
      </c>
      <c r="B19" s="12" t="s">
        <v>49</v>
      </c>
      <c r="C19" s="24"/>
      <c r="D19" s="31" t="s">
        <v>138</v>
      </c>
      <c r="E19" s="12">
        <v>0</v>
      </c>
      <c r="F19" s="12">
        <v>0</v>
      </c>
      <c r="G19" s="12">
        <v>0</v>
      </c>
      <c r="H19" s="12">
        <v>5</v>
      </c>
      <c r="I19" s="12">
        <v>0</v>
      </c>
      <c r="J19" s="12">
        <v>14.5</v>
      </c>
      <c r="K19" s="12">
        <v>6.8</v>
      </c>
      <c r="L19" s="12"/>
      <c r="M19" s="12"/>
      <c r="N19" s="12"/>
      <c r="O19" s="12"/>
      <c r="P19" s="12"/>
      <c r="Q19" s="20">
        <f t="shared" si="1"/>
        <v>26.3</v>
      </c>
    </row>
    <row r="20" spans="1:17" ht="19.5" customHeight="1" x14ac:dyDescent="0.3">
      <c r="A20" s="72">
        <v>19</v>
      </c>
      <c r="B20" s="72" t="s">
        <v>52</v>
      </c>
      <c r="C20" s="73"/>
      <c r="D20" s="74" t="s">
        <v>56</v>
      </c>
      <c r="E20" s="72">
        <v>0</v>
      </c>
      <c r="F20" s="72">
        <v>9.5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/>
      <c r="M20" s="72"/>
      <c r="N20" s="72"/>
      <c r="O20" s="72"/>
      <c r="P20" s="72"/>
      <c r="Q20" s="75">
        <f t="shared" si="0"/>
        <v>9.5</v>
      </c>
    </row>
    <row r="21" spans="1:17" ht="19.5" customHeight="1" x14ac:dyDescent="0.3">
      <c r="A21" s="12">
        <v>20</v>
      </c>
      <c r="B21" s="12" t="s">
        <v>57</v>
      </c>
      <c r="C21" s="24"/>
      <c r="D21" s="31" t="s">
        <v>63</v>
      </c>
      <c r="E21" s="12">
        <v>0</v>
      </c>
      <c r="F21" s="12">
        <v>0</v>
      </c>
      <c r="G21" s="12">
        <v>13</v>
      </c>
      <c r="H21" s="12">
        <v>0</v>
      </c>
      <c r="I21" s="12">
        <v>0</v>
      </c>
      <c r="J21" s="12">
        <v>0</v>
      </c>
      <c r="K21" s="12">
        <v>0</v>
      </c>
      <c r="L21" s="12"/>
      <c r="M21" s="12"/>
      <c r="N21" s="12"/>
      <c r="O21" s="12"/>
      <c r="P21" s="12"/>
      <c r="Q21" s="20">
        <f t="shared" si="0"/>
        <v>13</v>
      </c>
    </row>
    <row r="22" spans="1:17" ht="19.5" customHeight="1" x14ac:dyDescent="0.3">
      <c r="A22" s="72">
        <v>21</v>
      </c>
      <c r="B22" s="76" t="s">
        <v>96</v>
      </c>
      <c r="C22" s="72"/>
      <c r="D22" s="74" t="s">
        <v>138</v>
      </c>
      <c r="E22" s="72">
        <v>0</v>
      </c>
      <c r="F22" s="72">
        <v>28.5</v>
      </c>
      <c r="G22" s="72">
        <v>15.8</v>
      </c>
      <c r="H22" s="72">
        <v>66</v>
      </c>
      <c r="I22" s="72">
        <v>21</v>
      </c>
      <c r="J22" s="72">
        <v>72</v>
      </c>
      <c r="K22" s="72">
        <v>19</v>
      </c>
      <c r="L22" s="72"/>
      <c r="M22" s="72"/>
      <c r="N22" s="72"/>
      <c r="O22" s="72"/>
      <c r="P22" s="72"/>
      <c r="Q22" s="75">
        <f t="shared" si="0"/>
        <v>222.3</v>
      </c>
    </row>
    <row r="23" spans="1:17" ht="19.5" customHeight="1" x14ac:dyDescent="0.3">
      <c r="A23" s="12">
        <v>22</v>
      </c>
      <c r="B23" s="26" t="s">
        <v>108</v>
      </c>
      <c r="C23" s="12"/>
      <c r="D23" s="31" t="s">
        <v>59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32.6</v>
      </c>
      <c r="K23" s="12">
        <v>0</v>
      </c>
      <c r="L23" s="12"/>
      <c r="M23" s="12"/>
      <c r="N23" s="12"/>
      <c r="O23" s="12"/>
      <c r="P23" s="12"/>
      <c r="Q23" s="20">
        <f t="shared" ref="Q23" si="2">SUM(E23:P23)</f>
        <v>32.6</v>
      </c>
    </row>
    <row r="24" spans="1:17" ht="20.399999999999999" customHeight="1" x14ac:dyDescent="0.3">
      <c r="A24" s="78" t="s">
        <v>9</v>
      </c>
      <c r="B24" s="79"/>
      <c r="C24" s="79"/>
      <c r="D24" s="80"/>
      <c r="E24" s="49">
        <f t="shared" ref="E24:P24" si="3">SUM(E4:E23)</f>
        <v>48</v>
      </c>
      <c r="F24" s="49">
        <f t="shared" si="3"/>
        <v>188.3</v>
      </c>
      <c r="G24" s="49">
        <f t="shared" si="3"/>
        <v>317.60000000000002</v>
      </c>
      <c r="H24" s="49">
        <f t="shared" si="3"/>
        <v>203</v>
      </c>
      <c r="I24" s="49">
        <f t="shared" si="3"/>
        <v>324</v>
      </c>
      <c r="J24" s="49">
        <f t="shared" si="3"/>
        <v>452.7</v>
      </c>
      <c r="K24" s="49">
        <f t="shared" si="3"/>
        <v>172.1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49">
        <f t="shared" si="3"/>
        <v>0</v>
      </c>
      <c r="Q24" s="50">
        <f>SUM(Q2:Q23)</f>
        <v>1789.8999999999999</v>
      </c>
    </row>
  </sheetData>
  <mergeCells count="1">
    <mergeCell ref="A24:D24"/>
  </mergeCells>
  <pageMargins left="0.7" right="0.7" top="0.75" bottom="0.75" header="0.3" footer="0.3"/>
  <pageSetup orientation="landscape" r:id="rId1"/>
  <headerFooter>
    <oddHeader xml:space="preserve">&amp;R&amp;20کاخ ولیعصر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ED93-1F59-4E29-BF73-45B4ACFA4018}">
  <dimension ref="A1:Q25"/>
  <sheetViews>
    <sheetView rightToLeft="1" zoomScaleNormal="100" workbookViewId="0">
      <selection activeCell="K25" sqref="K25"/>
    </sheetView>
  </sheetViews>
  <sheetFormatPr defaultColWidth="8.88671875" defaultRowHeight="14.4" x14ac:dyDescent="0.3"/>
  <cols>
    <col min="1" max="1" width="6.109375" style="1" customWidth="1"/>
    <col min="2" max="2" width="16.109375" style="1" customWidth="1"/>
    <col min="3" max="4" width="10.33203125" style="1" customWidth="1"/>
    <col min="5" max="16" width="5.109375" style="1" customWidth="1"/>
    <col min="17" max="17" width="8.109375" style="1" customWidth="1"/>
    <col min="18" max="16384" width="8.88671875" style="1"/>
  </cols>
  <sheetData>
    <row r="1" spans="1:17" ht="23.4" customHeight="1" x14ac:dyDescent="0.3">
      <c r="A1" s="2" t="s">
        <v>0</v>
      </c>
      <c r="B1" s="2" t="s">
        <v>1</v>
      </c>
      <c r="C1" s="2" t="s">
        <v>116</v>
      </c>
      <c r="D1" s="2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 t="s">
        <v>18</v>
      </c>
    </row>
    <row r="2" spans="1:17" ht="20.399999999999999" customHeight="1" x14ac:dyDescent="0.3">
      <c r="A2" s="43">
        <v>1</v>
      </c>
      <c r="B2" s="44" t="s">
        <v>41</v>
      </c>
      <c r="C2" s="51"/>
      <c r="D2" s="45" t="s">
        <v>120</v>
      </c>
      <c r="E2" s="43">
        <v>0</v>
      </c>
      <c r="F2" s="43">
        <v>40</v>
      </c>
      <c r="G2" s="43">
        <v>84</v>
      </c>
      <c r="H2" s="43">
        <v>0</v>
      </c>
      <c r="I2" s="43">
        <v>60.9</v>
      </c>
      <c r="J2" s="43">
        <v>77</v>
      </c>
      <c r="K2" s="43">
        <v>61.2</v>
      </c>
      <c r="L2" s="43"/>
      <c r="M2" s="43"/>
      <c r="N2" s="43"/>
      <c r="O2" s="43"/>
      <c r="P2" s="43"/>
      <c r="Q2" s="46">
        <f t="shared" ref="Q2:Q23" si="0">SUM(E2:P2)</f>
        <v>323.09999999999997</v>
      </c>
    </row>
    <row r="3" spans="1:17" ht="20.399999999999999" customHeight="1" x14ac:dyDescent="0.3">
      <c r="A3" s="12">
        <v>2</v>
      </c>
      <c r="B3" s="31" t="s">
        <v>42</v>
      </c>
      <c r="C3" s="24" t="s">
        <v>123</v>
      </c>
      <c r="D3" s="30" t="s">
        <v>61</v>
      </c>
      <c r="E3" s="12">
        <v>6</v>
      </c>
      <c r="F3" s="12">
        <v>0</v>
      </c>
      <c r="G3" s="12">
        <v>95</v>
      </c>
      <c r="H3" s="12">
        <v>104</v>
      </c>
      <c r="I3" s="12">
        <v>71</v>
      </c>
      <c r="J3" s="12">
        <v>66</v>
      </c>
      <c r="K3" s="12">
        <v>23.9</v>
      </c>
      <c r="L3" s="12"/>
      <c r="M3" s="12"/>
      <c r="N3" s="12"/>
      <c r="O3" s="12"/>
      <c r="P3" s="12"/>
      <c r="Q3" s="20">
        <f t="shared" si="0"/>
        <v>365.9</v>
      </c>
    </row>
    <row r="4" spans="1:17" ht="20.399999999999999" customHeight="1" x14ac:dyDescent="0.3">
      <c r="A4" s="43">
        <v>3</v>
      </c>
      <c r="B4" s="43" t="s">
        <v>45</v>
      </c>
      <c r="C4" s="51"/>
      <c r="D4" s="45" t="s">
        <v>60</v>
      </c>
      <c r="E4" s="43">
        <v>0</v>
      </c>
      <c r="F4" s="43">
        <v>13.9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/>
      <c r="M4" s="43"/>
      <c r="N4" s="43"/>
      <c r="O4" s="43"/>
      <c r="P4" s="43"/>
      <c r="Q4" s="46">
        <f t="shared" si="0"/>
        <v>13.9</v>
      </c>
    </row>
    <row r="5" spans="1:17" ht="20.399999999999999" customHeight="1" x14ac:dyDescent="0.3">
      <c r="A5" s="12">
        <v>4</v>
      </c>
      <c r="B5" s="12" t="s">
        <v>141</v>
      </c>
      <c r="C5" s="24" t="s">
        <v>123</v>
      </c>
      <c r="D5" s="29" t="s">
        <v>125</v>
      </c>
      <c r="E5" s="12">
        <v>0</v>
      </c>
      <c r="F5" s="12">
        <v>13.4</v>
      </c>
      <c r="G5" s="12">
        <v>64</v>
      </c>
      <c r="H5" s="12">
        <v>33</v>
      </c>
      <c r="I5" s="12">
        <v>38.299999999999997</v>
      </c>
      <c r="J5" s="12">
        <v>26</v>
      </c>
      <c r="K5" s="12">
        <v>4</v>
      </c>
      <c r="L5" s="12"/>
      <c r="M5" s="12"/>
      <c r="N5" s="12"/>
      <c r="O5" s="12"/>
      <c r="P5" s="12"/>
      <c r="Q5" s="20">
        <f t="shared" si="0"/>
        <v>178.7</v>
      </c>
    </row>
    <row r="6" spans="1:17" ht="20.399999999999999" customHeight="1" x14ac:dyDescent="0.3">
      <c r="A6" s="43">
        <v>5</v>
      </c>
      <c r="B6" s="43" t="s">
        <v>10</v>
      </c>
      <c r="C6" s="51" t="s">
        <v>123</v>
      </c>
      <c r="D6" s="45" t="s">
        <v>121</v>
      </c>
      <c r="E6" s="43">
        <v>4</v>
      </c>
      <c r="F6" s="43">
        <v>50</v>
      </c>
      <c r="G6" s="43">
        <v>27</v>
      </c>
      <c r="H6" s="43">
        <v>7.5</v>
      </c>
      <c r="I6" s="43">
        <v>12.5</v>
      </c>
      <c r="J6" s="43">
        <v>40.6</v>
      </c>
      <c r="K6" s="43">
        <v>0</v>
      </c>
      <c r="L6" s="43"/>
      <c r="M6" s="43"/>
      <c r="N6" s="43"/>
      <c r="O6" s="43"/>
      <c r="P6" s="43"/>
      <c r="Q6" s="46">
        <f t="shared" si="0"/>
        <v>141.6</v>
      </c>
    </row>
    <row r="7" spans="1:17" ht="20.399999999999999" customHeight="1" x14ac:dyDescent="0.3">
      <c r="A7" s="12">
        <v>6</v>
      </c>
      <c r="B7" s="12" t="s">
        <v>78</v>
      </c>
      <c r="C7" s="24" t="s">
        <v>123</v>
      </c>
      <c r="D7" s="30" t="s">
        <v>75</v>
      </c>
      <c r="E7" s="12">
        <v>0</v>
      </c>
      <c r="F7" s="12">
        <v>0</v>
      </c>
      <c r="G7" s="12">
        <v>33</v>
      </c>
      <c r="H7" s="12">
        <v>0</v>
      </c>
      <c r="I7" s="12">
        <v>21.7</v>
      </c>
      <c r="J7" s="12">
        <v>49</v>
      </c>
      <c r="K7" s="12">
        <v>40</v>
      </c>
      <c r="L7" s="12"/>
      <c r="M7" s="12"/>
      <c r="N7" s="12"/>
      <c r="O7" s="12"/>
      <c r="P7" s="12"/>
      <c r="Q7" s="20">
        <f t="shared" si="0"/>
        <v>143.69999999999999</v>
      </c>
    </row>
    <row r="8" spans="1:17" ht="20.399999999999999" customHeight="1" x14ac:dyDescent="0.3">
      <c r="A8" s="43">
        <v>7</v>
      </c>
      <c r="B8" s="43" t="s">
        <v>40</v>
      </c>
      <c r="C8" s="51"/>
      <c r="D8" s="45" t="s">
        <v>121</v>
      </c>
      <c r="E8" s="43">
        <v>0</v>
      </c>
      <c r="F8" s="43">
        <v>0</v>
      </c>
      <c r="G8" s="43">
        <v>22</v>
      </c>
      <c r="H8" s="43">
        <v>6</v>
      </c>
      <c r="I8" s="43">
        <v>0</v>
      </c>
      <c r="J8" s="43">
        <v>0</v>
      </c>
      <c r="K8" s="43">
        <v>0</v>
      </c>
      <c r="L8" s="43"/>
      <c r="M8" s="43"/>
      <c r="N8" s="43"/>
      <c r="O8" s="43"/>
      <c r="P8" s="43"/>
      <c r="Q8" s="46">
        <f t="shared" si="0"/>
        <v>28</v>
      </c>
    </row>
    <row r="9" spans="1:17" ht="20.399999999999999" customHeight="1" x14ac:dyDescent="0.3">
      <c r="A9" s="12">
        <v>8</v>
      </c>
      <c r="B9" s="12" t="s">
        <v>16</v>
      </c>
      <c r="C9" s="24" t="s">
        <v>123</v>
      </c>
      <c r="D9" s="30" t="s">
        <v>54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/>
      <c r="M9" s="12"/>
      <c r="N9" s="12"/>
      <c r="O9" s="12"/>
      <c r="P9" s="12"/>
      <c r="Q9" s="20">
        <f t="shared" si="0"/>
        <v>0</v>
      </c>
    </row>
    <row r="10" spans="1:17" ht="20.399999999999999" customHeight="1" x14ac:dyDescent="0.3">
      <c r="A10" s="43">
        <v>9</v>
      </c>
      <c r="B10" s="43" t="s">
        <v>17</v>
      </c>
      <c r="C10" s="51"/>
      <c r="D10" s="45" t="s">
        <v>55</v>
      </c>
      <c r="E10" s="43">
        <v>27.9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/>
      <c r="M10" s="43"/>
      <c r="N10" s="43"/>
      <c r="O10" s="43"/>
      <c r="P10" s="43"/>
      <c r="Q10" s="46">
        <f t="shared" si="0"/>
        <v>27.9</v>
      </c>
    </row>
    <row r="11" spans="1:17" ht="20.399999999999999" customHeight="1" x14ac:dyDescent="0.3">
      <c r="A11" s="12">
        <v>10</v>
      </c>
      <c r="B11" s="12" t="s">
        <v>51</v>
      </c>
      <c r="C11" s="24"/>
      <c r="D11" s="30" t="s">
        <v>63</v>
      </c>
      <c r="E11" s="12">
        <v>0</v>
      </c>
      <c r="F11" s="12">
        <v>15.5</v>
      </c>
      <c r="G11" s="12">
        <v>0</v>
      </c>
      <c r="H11" s="12">
        <v>0</v>
      </c>
      <c r="I11" s="12">
        <v>43.7</v>
      </c>
      <c r="J11" s="12">
        <v>42.9</v>
      </c>
      <c r="K11" s="12">
        <v>0</v>
      </c>
      <c r="L11" s="12"/>
      <c r="M11" s="12"/>
      <c r="N11" s="12"/>
      <c r="O11" s="12"/>
      <c r="P11" s="12"/>
      <c r="Q11" s="20">
        <f t="shared" si="0"/>
        <v>102.1</v>
      </c>
    </row>
    <row r="12" spans="1:17" ht="20.399999999999999" customHeight="1" x14ac:dyDescent="0.3">
      <c r="A12" s="43">
        <v>11</v>
      </c>
      <c r="B12" s="43" t="s">
        <v>53</v>
      </c>
      <c r="C12" s="51"/>
      <c r="D12" s="53"/>
      <c r="E12" s="43">
        <v>28</v>
      </c>
      <c r="F12" s="43">
        <v>257</v>
      </c>
      <c r="G12" s="43">
        <v>23</v>
      </c>
      <c r="H12" s="43">
        <v>0</v>
      </c>
      <c r="I12" s="43">
        <v>0</v>
      </c>
      <c r="J12" s="43">
        <v>0</v>
      </c>
      <c r="K12" s="43">
        <v>0</v>
      </c>
      <c r="L12" s="43"/>
      <c r="M12" s="43"/>
      <c r="N12" s="43"/>
      <c r="O12" s="43"/>
      <c r="P12" s="43"/>
      <c r="Q12" s="46">
        <f t="shared" si="0"/>
        <v>308</v>
      </c>
    </row>
    <row r="13" spans="1:17" ht="20.399999999999999" customHeight="1" x14ac:dyDescent="0.3">
      <c r="A13" s="12">
        <v>12</v>
      </c>
      <c r="B13" s="12" t="s">
        <v>86</v>
      </c>
      <c r="C13" s="24"/>
      <c r="D13" s="12" t="s">
        <v>55</v>
      </c>
      <c r="E13" s="12">
        <v>0</v>
      </c>
      <c r="F13" s="12">
        <v>0</v>
      </c>
      <c r="G13" s="12">
        <v>0</v>
      </c>
      <c r="H13" s="12">
        <v>0</v>
      </c>
      <c r="I13" s="12">
        <v>1.4</v>
      </c>
      <c r="J13" s="12">
        <v>3.5</v>
      </c>
      <c r="K13" s="12">
        <v>0</v>
      </c>
      <c r="L13" s="12"/>
      <c r="M13" s="12"/>
      <c r="N13" s="12"/>
      <c r="O13" s="12"/>
      <c r="P13" s="12"/>
      <c r="Q13" s="20">
        <f t="shared" si="0"/>
        <v>4.9000000000000004</v>
      </c>
    </row>
    <row r="14" spans="1:17" ht="20.399999999999999" customHeight="1" x14ac:dyDescent="0.3">
      <c r="A14" s="43">
        <v>13</v>
      </c>
      <c r="B14" s="43" t="s">
        <v>87</v>
      </c>
      <c r="C14" s="43"/>
      <c r="D14" s="43" t="s">
        <v>140</v>
      </c>
      <c r="E14" s="43">
        <v>0</v>
      </c>
      <c r="F14" s="43">
        <v>10.5</v>
      </c>
      <c r="G14" s="43">
        <v>0</v>
      </c>
      <c r="H14" s="43">
        <v>15</v>
      </c>
      <c r="I14" s="43">
        <v>0</v>
      </c>
      <c r="J14" s="43">
        <v>0</v>
      </c>
      <c r="K14" s="43">
        <v>0</v>
      </c>
      <c r="L14" s="43"/>
      <c r="M14" s="43"/>
      <c r="N14" s="43"/>
      <c r="O14" s="43"/>
      <c r="P14" s="43"/>
      <c r="Q14" s="46">
        <f t="shared" si="0"/>
        <v>25.5</v>
      </c>
    </row>
    <row r="15" spans="1:17" ht="20.399999999999999" customHeight="1" x14ac:dyDescent="0.3">
      <c r="A15" s="12">
        <v>14</v>
      </c>
      <c r="B15" s="12" t="s">
        <v>88</v>
      </c>
      <c r="C15" s="12"/>
      <c r="D15" s="12" t="s">
        <v>61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/>
      <c r="M15" s="12"/>
      <c r="N15" s="12"/>
      <c r="O15" s="12"/>
      <c r="P15" s="12"/>
      <c r="Q15" s="20">
        <f t="shared" si="0"/>
        <v>0</v>
      </c>
    </row>
    <row r="16" spans="1:17" ht="20.399999999999999" customHeight="1" x14ac:dyDescent="0.3">
      <c r="A16" s="43">
        <v>15</v>
      </c>
      <c r="B16" s="43" t="s">
        <v>109</v>
      </c>
      <c r="C16" s="43" t="s">
        <v>123</v>
      </c>
      <c r="D16" s="43" t="s">
        <v>140</v>
      </c>
      <c r="E16" s="43">
        <v>51</v>
      </c>
      <c r="F16" s="43">
        <v>0</v>
      </c>
      <c r="G16" s="43">
        <v>34</v>
      </c>
      <c r="H16" s="43">
        <v>106</v>
      </c>
      <c r="I16" s="43">
        <v>35</v>
      </c>
      <c r="J16" s="43">
        <v>64</v>
      </c>
      <c r="K16" s="43">
        <v>52.4</v>
      </c>
      <c r="L16" s="43"/>
      <c r="M16" s="43"/>
      <c r="N16" s="43"/>
      <c r="O16" s="43"/>
      <c r="P16" s="43"/>
      <c r="Q16" s="46">
        <f t="shared" si="0"/>
        <v>342.4</v>
      </c>
    </row>
    <row r="17" spans="1:17" ht="20.399999999999999" customHeight="1" x14ac:dyDescent="0.3">
      <c r="A17" s="12">
        <v>16</v>
      </c>
      <c r="B17" s="12" t="s">
        <v>110</v>
      </c>
      <c r="C17" s="12"/>
      <c r="D17" s="12" t="s">
        <v>61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/>
      <c r="M17" s="12"/>
      <c r="N17" s="12"/>
      <c r="O17" s="12"/>
      <c r="P17" s="12"/>
      <c r="Q17" s="20">
        <f t="shared" si="0"/>
        <v>0</v>
      </c>
    </row>
    <row r="18" spans="1:17" ht="20.399999999999999" customHeight="1" x14ac:dyDescent="0.3">
      <c r="A18" s="43">
        <v>17</v>
      </c>
      <c r="B18" s="43" t="s">
        <v>111</v>
      </c>
      <c r="C18" s="43"/>
      <c r="D18" s="43" t="s">
        <v>121</v>
      </c>
      <c r="E18" s="43">
        <v>0</v>
      </c>
      <c r="F18" s="43">
        <v>22</v>
      </c>
      <c r="G18" s="43">
        <v>7.7</v>
      </c>
      <c r="H18" s="43">
        <v>10</v>
      </c>
      <c r="I18" s="43">
        <v>0</v>
      </c>
      <c r="J18" s="43">
        <v>20</v>
      </c>
      <c r="K18" s="43">
        <v>0</v>
      </c>
      <c r="L18" s="43"/>
      <c r="M18" s="43"/>
      <c r="N18" s="43"/>
      <c r="O18" s="43"/>
      <c r="P18" s="43"/>
      <c r="Q18" s="46">
        <f t="shared" si="0"/>
        <v>59.7</v>
      </c>
    </row>
    <row r="19" spans="1:17" ht="20.399999999999999" customHeight="1" x14ac:dyDescent="0.3">
      <c r="A19" s="12">
        <v>18</v>
      </c>
      <c r="B19" s="12" t="s">
        <v>142</v>
      </c>
      <c r="C19" s="12"/>
      <c r="D19" s="12" t="s">
        <v>120</v>
      </c>
      <c r="E19" s="12"/>
      <c r="F19" s="12"/>
      <c r="G19" s="12"/>
      <c r="H19" s="12">
        <v>0</v>
      </c>
      <c r="I19" s="12">
        <v>0</v>
      </c>
      <c r="J19" s="12">
        <v>0</v>
      </c>
      <c r="K19" s="12">
        <v>0</v>
      </c>
      <c r="L19" s="12"/>
      <c r="M19" s="12"/>
      <c r="N19" s="12"/>
      <c r="O19" s="12"/>
      <c r="P19" s="12"/>
      <c r="Q19" s="20">
        <f t="shared" si="0"/>
        <v>0</v>
      </c>
    </row>
    <row r="20" spans="1:17" ht="20.399999999999999" customHeight="1" x14ac:dyDescent="0.3">
      <c r="A20" s="56">
        <v>19</v>
      </c>
      <c r="B20" s="56" t="s">
        <v>160</v>
      </c>
      <c r="C20" s="56"/>
      <c r="D20" s="56" t="s">
        <v>126</v>
      </c>
      <c r="E20" s="56"/>
      <c r="F20" s="56"/>
      <c r="G20" s="56"/>
      <c r="H20" s="56"/>
      <c r="I20" s="56">
        <v>0</v>
      </c>
      <c r="J20" s="56">
        <v>15.5</v>
      </c>
      <c r="K20" s="56">
        <v>4</v>
      </c>
      <c r="L20" s="56"/>
      <c r="M20" s="56"/>
      <c r="N20" s="56"/>
      <c r="O20" s="56"/>
      <c r="P20" s="56"/>
      <c r="Q20" s="57">
        <f t="shared" si="0"/>
        <v>19.5</v>
      </c>
    </row>
    <row r="21" spans="1:17" ht="20.399999999999999" customHeight="1" x14ac:dyDescent="0.3">
      <c r="A21" s="12">
        <v>20</v>
      </c>
      <c r="B21" s="12" t="s">
        <v>161</v>
      </c>
      <c r="C21" s="12"/>
      <c r="D21" s="12" t="s">
        <v>61</v>
      </c>
      <c r="E21" s="12"/>
      <c r="F21" s="12"/>
      <c r="G21" s="12"/>
      <c r="H21" s="12"/>
      <c r="I21" s="12">
        <v>30</v>
      </c>
      <c r="J21" s="12">
        <v>0</v>
      </c>
      <c r="K21" s="12">
        <v>0</v>
      </c>
      <c r="L21" s="12"/>
      <c r="M21" s="12"/>
      <c r="N21" s="12"/>
      <c r="O21" s="12"/>
      <c r="P21" s="12"/>
      <c r="Q21" s="20">
        <f t="shared" si="0"/>
        <v>30</v>
      </c>
    </row>
    <row r="22" spans="1:17" ht="20.399999999999999" customHeight="1" x14ac:dyDescent="0.3">
      <c r="A22" s="56">
        <v>21</v>
      </c>
      <c r="B22" s="56" t="s">
        <v>153</v>
      </c>
      <c r="C22" s="56"/>
      <c r="D22" s="56" t="s">
        <v>137</v>
      </c>
      <c r="E22" s="56"/>
      <c r="F22" s="56"/>
      <c r="G22" s="56"/>
      <c r="H22" s="56"/>
      <c r="I22" s="56">
        <v>16.5</v>
      </c>
      <c r="J22" s="56">
        <v>0</v>
      </c>
      <c r="K22" s="56">
        <v>0</v>
      </c>
      <c r="L22" s="56"/>
      <c r="M22" s="56"/>
      <c r="N22" s="56"/>
      <c r="O22" s="56"/>
      <c r="P22" s="56"/>
      <c r="Q22" s="57">
        <f t="shared" si="0"/>
        <v>16.5</v>
      </c>
    </row>
    <row r="23" spans="1:17" ht="20.399999999999999" customHeight="1" x14ac:dyDescent="0.3">
      <c r="A23" s="12">
        <v>22</v>
      </c>
      <c r="B23" s="12" t="s">
        <v>180</v>
      </c>
      <c r="C23" s="12"/>
      <c r="D23" s="12"/>
      <c r="E23" s="12"/>
      <c r="F23" s="12"/>
      <c r="G23" s="12"/>
      <c r="H23" s="12"/>
      <c r="I23" s="12"/>
      <c r="J23" s="12">
        <v>19.5</v>
      </c>
      <c r="K23" s="12">
        <v>0</v>
      </c>
      <c r="L23" s="12"/>
      <c r="M23" s="12"/>
      <c r="N23" s="12"/>
      <c r="O23" s="12"/>
      <c r="P23" s="12"/>
      <c r="Q23" s="20">
        <f t="shared" si="0"/>
        <v>19.5</v>
      </c>
    </row>
    <row r="24" spans="1:17" ht="20.399999999999999" customHeight="1" x14ac:dyDescent="0.3">
      <c r="A24" s="56">
        <v>23</v>
      </c>
      <c r="B24" s="56" t="s">
        <v>112</v>
      </c>
      <c r="C24" s="56"/>
      <c r="D24" s="56" t="s">
        <v>61</v>
      </c>
      <c r="E24" s="56">
        <v>0</v>
      </c>
      <c r="F24" s="56">
        <v>0</v>
      </c>
      <c r="G24" s="56">
        <v>12.5</v>
      </c>
      <c r="H24" s="56">
        <v>0</v>
      </c>
      <c r="I24" s="56">
        <v>0</v>
      </c>
      <c r="J24" s="56">
        <v>0</v>
      </c>
      <c r="K24" s="56">
        <v>0</v>
      </c>
      <c r="L24" s="56"/>
      <c r="M24" s="56"/>
      <c r="N24" s="56"/>
      <c r="O24" s="56"/>
      <c r="P24" s="56"/>
      <c r="Q24" s="57">
        <f>SUM(E24:P24)</f>
        <v>12.5</v>
      </c>
    </row>
    <row r="25" spans="1:17" ht="20.399999999999999" customHeight="1" x14ac:dyDescent="0.3">
      <c r="A25" s="81" t="s">
        <v>9</v>
      </c>
      <c r="B25" s="82"/>
      <c r="C25" s="82"/>
      <c r="D25" s="83"/>
      <c r="E25" s="12">
        <f t="shared" ref="E25:P25" si="1">SUM(E2:E24)</f>
        <v>116.9</v>
      </c>
      <c r="F25" s="12">
        <f t="shared" si="1"/>
        <v>422.3</v>
      </c>
      <c r="G25" s="12">
        <f t="shared" si="1"/>
        <v>402.2</v>
      </c>
      <c r="H25" s="12">
        <f t="shared" si="1"/>
        <v>281.5</v>
      </c>
      <c r="I25" s="12">
        <f t="shared" si="1"/>
        <v>331</v>
      </c>
      <c r="J25" s="12">
        <f t="shared" si="1"/>
        <v>424</v>
      </c>
      <c r="K25" s="12">
        <f t="shared" si="1"/>
        <v>185.5</v>
      </c>
      <c r="L25" s="12">
        <f t="shared" si="1"/>
        <v>0</v>
      </c>
      <c r="M25" s="12">
        <f t="shared" si="1"/>
        <v>0</v>
      </c>
      <c r="N25" s="12">
        <f t="shared" si="1"/>
        <v>0</v>
      </c>
      <c r="O25" s="12">
        <f t="shared" si="1"/>
        <v>0</v>
      </c>
      <c r="P25" s="12">
        <f t="shared" si="1"/>
        <v>0</v>
      </c>
      <c r="Q25" s="52">
        <f>SUM(Q2:Q24)</f>
        <v>2163.3999999999996</v>
      </c>
    </row>
  </sheetData>
  <mergeCells count="1">
    <mergeCell ref="A25:D25"/>
  </mergeCells>
  <pageMargins left="0.7" right="0.7" top="0.75" bottom="0.75" header="0.3" footer="0.3"/>
  <pageSetup orientation="landscape" r:id="rId1"/>
  <headerFooter>
    <oddHeader>&amp;R&amp;20تهران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6824-DB81-4C92-B206-409C9791BC07}">
  <dimension ref="A1:Q22"/>
  <sheetViews>
    <sheetView rightToLeft="1" zoomScaleNormal="100" workbookViewId="0">
      <selection activeCell="K21" sqref="K21"/>
    </sheetView>
  </sheetViews>
  <sheetFormatPr defaultColWidth="8.88671875" defaultRowHeight="14.4" x14ac:dyDescent="0.3"/>
  <cols>
    <col min="1" max="1" width="5" style="1" customWidth="1"/>
    <col min="2" max="2" width="16" style="1" customWidth="1"/>
    <col min="3" max="3" width="11.44140625" style="1" customWidth="1"/>
    <col min="4" max="4" width="8.44140625" style="1" customWidth="1"/>
    <col min="5" max="16" width="5.109375" style="1" customWidth="1"/>
    <col min="17" max="16384" width="8.88671875" style="1"/>
  </cols>
  <sheetData>
    <row r="1" spans="1:17" ht="23.4" customHeight="1" x14ac:dyDescent="0.3">
      <c r="A1" s="2" t="s">
        <v>0</v>
      </c>
      <c r="B1" s="2" t="s">
        <v>1</v>
      </c>
      <c r="C1" s="2" t="s">
        <v>116</v>
      </c>
      <c r="D1" s="2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 t="s">
        <v>18</v>
      </c>
    </row>
    <row r="2" spans="1:17" ht="21" customHeight="1" x14ac:dyDescent="0.3">
      <c r="A2" s="43">
        <v>1</v>
      </c>
      <c r="B2" s="43" t="s">
        <v>149</v>
      </c>
      <c r="C2" s="51"/>
      <c r="D2" s="43" t="s">
        <v>56</v>
      </c>
      <c r="E2" s="43">
        <v>0</v>
      </c>
      <c r="F2" s="43">
        <v>29</v>
      </c>
      <c r="G2" s="43">
        <v>0</v>
      </c>
      <c r="H2" s="43">
        <v>0</v>
      </c>
      <c r="I2" s="43">
        <v>0</v>
      </c>
      <c r="J2" s="43">
        <v>22.8</v>
      </c>
      <c r="K2" s="43">
        <v>29.7</v>
      </c>
      <c r="L2" s="43"/>
      <c r="M2" s="43"/>
      <c r="N2" s="43"/>
      <c r="O2" s="43"/>
      <c r="P2" s="43"/>
      <c r="Q2" s="46">
        <f t="shared" ref="Q2:Q21" si="0">SUM(E2:P2)</f>
        <v>81.5</v>
      </c>
    </row>
    <row r="3" spans="1:17" ht="21" customHeight="1" x14ac:dyDescent="0.3">
      <c r="A3" s="12">
        <v>2</v>
      </c>
      <c r="B3" s="12" t="s">
        <v>12</v>
      </c>
      <c r="C3" s="24" t="s">
        <v>123</v>
      </c>
      <c r="D3" s="12" t="s">
        <v>121</v>
      </c>
      <c r="E3" s="12">
        <v>0</v>
      </c>
      <c r="F3" s="12">
        <v>7.7</v>
      </c>
      <c r="G3" s="12">
        <v>56</v>
      </c>
      <c r="H3" s="12">
        <v>130</v>
      </c>
      <c r="I3" s="12">
        <v>40</v>
      </c>
      <c r="J3" s="12">
        <v>133</v>
      </c>
      <c r="K3" s="12">
        <v>65.599999999999994</v>
      </c>
      <c r="L3" s="12"/>
      <c r="M3" s="12"/>
      <c r="N3" s="12"/>
      <c r="O3" s="12"/>
      <c r="P3" s="12"/>
      <c r="Q3" s="20">
        <f t="shared" si="0"/>
        <v>432.29999999999995</v>
      </c>
    </row>
    <row r="4" spans="1:17" ht="21" customHeight="1" x14ac:dyDescent="0.3">
      <c r="A4" s="43">
        <v>3</v>
      </c>
      <c r="B4" s="43" t="s">
        <v>13</v>
      </c>
      <c r="C4" s="51" t="s">
        <v>123</v>
      </c>
      <c r="D4" s="43" t="s">
        <v>62</v>
      </c>
      <c r="E4" s="43">
        <v>0</v>
      </c>
      <c r="F4" s="43">
        <v>15</v>
      </c>
      <c r="G4" s="43">
        <v>0</v>
      </c>
      <c r="H4" s="43">
        <v>22</v>
      </c>
      <c r="I4" s="43">
        <v>35</v>
      </c>
      <c r="J4" s="43">
        <v>0</v>
      </c>
      <c r="K4" s="43">
        <v>4.4000000000000004</v>
      </c>
      <c r="L4" s="43"/>
      <c r="M4" s="43"/>
      <c r="N4" s="43"/>
      <c r="O4" s="43"/>
      <c r="P4" s="43"/>
      <c r="Q4" s="46">
        <f t="shared" si="0"/>
        <v>76.400000000000006</v>
      </c>
    </row>
    <row r="5" spans="1:17" ht="21" customHeight="1" x14ac:dyDescent="0.3">
      <c r="A5" s="12">
        <v>4</v>
      </c>
      <c r="B5" s="12" t="s">
        <v>14</v>
      </c>
      <c r="C5" s="24"/>
      <c r="D5" s="12" t="s">
        <v>60</v>
      </c>
      <c r="E5" s="12">
        <v>0</v>
      </c>
      <c r="F5" s="12">
        <v>44.9</v>
      </c>
      <c r="G5" s="12">
        <v>0</v>
      </c>
      <c r="H5" s="12">
        <v>0</v>
      </c>
      <c r="I5" s="12">
        <v>0</v>
      </c>
      <c r="J5" s="12">
        <v>5.2</v>
      </c>
      <c r="K5" s="12">
        <v>0</v>
      </c>
      <c r="L5" s="12"/>
      <c r="M5" s="12"/>
      <c r="N5" s="12"/>
      <c r="O5" s="12"/>
      <c r="P5" s="12"/>
      <c r="Q5" s="20">
        <f t="shared" si="0"/>
        <v>50.1</v>
      </c>
    </row>
    <row r="6" spans="1:17" ht="21" customHeight="1" x14ac:dyDescent="0.3">
      <c r="A6" s="43">
        <v>5</v>
      </c>
      <c r="B6" s="43" t="s">
        <v>15</v>
      </c>
      <c r="C6" s="51" t="s">
        <v>123</v>
      </c>
      <c r="D6" s="43" t="s">
        <v>121</v>
      </c>
      <c r="E6" s="43">
        <v>16</v>
      </c>
      <c r="F6" s="43">
        <v>188</v>
      </c>
      <c r="G6" s="43">
        <v>165</v>
      </c>
      <c r="H6" s="43">
        <v>212</v>
      </c>
      <c r="I6" s="43">
        <v>202</v>
      </c>
      <c r="J6" s="43">
        <v>247</v>
      </c>
      <c r="K6" s="43">
        <v>103.6</v>
      </c>
      <c r="L6" s="43"/>
      <c r="M6" s="43"/>
      <c r="N6" s="43"/>
      <c r="O6" s="43"/>
      <c r="P6" s="43"/>
      <c r="Q6" s="46">
        <f t="shared" si="0"/>
        <v>1133.5999999999999</v>
      </c>
    </row>
    <row r="7" spans="1:17" ht="21" customHeight="1" x14ac:dyDescent="0.3">
      <c r="A7" s="12">
        <v>6</v>
      </c>
      <c r="B7" s="12" t="s">
        <v>148</v>
      </c>
      <c r="C7" s="24" t="s">
        <v>123</v>
      </c>
      <c r="D7" s="12" t="s">
        <v>75</v>
      </c>
      <c r="E7" s="12"/>
      <c r="F7" s="12"/>
      <c r="G7" s="12"/>
      <c r="H7" s="12">
        <v>18</v>
      </c>
      <c r="I7" s="12">
        <v>0</v>
      </c>
      <c r="J7" s="12">
        <v>10</v>
      </c>
      <c r="K7" s="12">
        <v>25</v>
      </c>
      <c r="L7" s="12"/>
      <c r="M7" s="12"/>
      <c r="N7" s="12"/>
      <c r="O7" s="12"/>
      <c r="P7" s="12"/>
      <c r="Q7" s="20">
        <f>SUM(E7:P7)</f>
        <v>53</v>
      </c>
    </row>
    <row r="8" spans="1:17" ht="21" customHeight="1" x14ac:dyDescent="0.3">
      <c r="A8" s="43">
        <v>7</v>
      </c>
      <c r="B8" s="43" t="s">
        <v>77</v>
      </c>
      <c r="C8" s="43"/>
      <c r="D8" s="43" t="s">
        <v>125</v>
      </c>
      <c r="E8" s="43">
        <v>53</v>
      </c>
      <c r="F8" s="43">
        <v>8</v>
      </c>
      <c r="G8" s="43">
        <v>9.6999999999999993</v>
      </c>
      <c r="H8" s="43">
        <v>7.5</v>
      </c>
      <c r="I8" s="43">
        <v>19.600000000000001</v>
      </c>
      <c r="J8" s="43">
        <v>22.3</v>
      </c>
      <c r="K8" s="43">
        <v>0</v>
      </c>
      <c r="L8" s="43"/>
      <c r="M8" s="43"/>
      <c r="N8" s="43"/>
      <c r="O8" s="43"/>
      <c r="P8" s="43"/>
      <c r="Q8" s="46">
        <f t="shared" si="0"/>
        <v>120.10000000000001</v>
      </c>
    </row>
    <row r="9" spans="1:17" ht="21" customHeight="1" x14ac:dyDescent="0.3">
      <c r="A9" s="12">
        <v>8</v>
      </c>
      <c r="B9" s="12" t="s">
        <v>95</v>
      </c>
      <c r="C9" s="24"/>
      <c r="D9" s="12" t="s">
        <v>58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/>
      <c r="M9" s="12"/>
      <c r="N9" s="12"/>
      <c r="O9" s="12"/>
      <c r="P9" s="12"/>
      <c r="Q9" s="20">
        <f t="shared" si="0"/>
        <v>0</v>
      </c>
    </row>
    <row r="10" spans="1:17" ht="21" customHeight="1" x14ac:dyDescent="0.3">
      <c r="A10" s="43">
        <v>9</v>
      </c>
      <c r="B10" s="43" t="s">
        <v>89</v>
      </c>
      <c r="C10" s="43"/>
      <c r="D10" s="43" t="s">
        <v>63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/>
      <c r="M10" s="43"/>
      <c r="N10" s="43"/>
      <c r="O10" s="43"/>
      <c r="P10" s="43"/>
      <c r="Q10" s="46">
        <f t="shared" si="0"/>
        <v>0</v>
      </c>
    </row>
    <row r="11" spans="1:17" ht="21" customHeight="1" x14ac:dyDescent="0.3">
      <c r="A11" s="12">
        <v>10</v>
      </c>
      <c r="B11" s="12" t="s">
        <v>102</v>
      </c>
      <c r="C11" s="12"/>
      <c r="D11" s="12" t="s">
        <v>124</v>
      </c>
      <c r="E11" s="12">
        <v>0</v>
      </c>
      <c r="F11" s="12">
        <v>0</v>
      </c>
      <c r="G11" s="12">
        <v>0</v>
      </c>
      <c r="H11" s="12">
        <v>10</v>
      </c>
      <c r="I11" s="12">
        <v>9.4</v>
      </c>
      <c r="J11" s="12">
        <v>41</v>
      </c>
      <c r="K11" s="12">
        <v>14.9</v>
      </c>
      <c r="L11" s="12"/>
      <c r="M11" s="12"/>
      <c r="N11" s="12"/>
      <c r="O11" s="12"/>
      <c r="P11" s="12"/>
      <c r="Q11" s="20">
        <f t="shared" si="0"/>
        <v>75.3</v>
      </c>
    </row>
    <row r="12" spans="1:17" ht="21" customHeight="1" x14ac:dyDescent="0.3">
      <c r="A12" s="43">
        <v>11</v>
      </c>
      <c r="B12" s="43" t="s">
        <v>107</v>
      </c>
      <c r="C12" s="43" t="s">
        <v>123</v>
      </c>
      <c r="D12" s="43" t="s">
        <v>56</v>
      </c>
      <c r="E12" s="43">
        <v>22.4</v>
      </c>
      <c r="F12" s="43">
        <v>0</v>
      </c>
      <c r="G12" s="43">
        <v>0</v>
      </c>
      <c r="H12" s="43">
        <v>0</v>
      </c>
      <c r="I12" s="43">
        <v>0</v>
      </c>
      <c r="J12" s="43">
        <v>24</v>
      </c>
      <c r="K12" s="43">
        <v>0</v>
      </c>
      <c r="L12" s="43"/>
      <c r="M12" s="43"/>
      <c r="N12" s="43"/>
      <c r="O12" s="43"/>
      <c r="P12" s="43"/>
      <c r="Q12" s="46">
        <f t="shared" si="0"/>
        <v>46.4</v>
      </c>
    </row>
    <row r="13" spans="1:17" ht="21" customHeight="1" x14ac:dyDescent="0.3">
      <c r="A13" s="12">
        <v>12</v>
      </c>
      <c r="B13" s="12" t="s">
        <v>113</v>
      </c>
      <c r="C13" s="12"/>
      <c r="D13" s="12" t="s">
        <v>61</v>
      </c>
      <c r="E13" s="12">
        <v>0</v>
      </c>
      <c r="F13" s="12">
        <v>8.5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/>
      <c r="M13" s="12"/>
      <c r="N13" s="12"/>
      <c r="O13" s="12"/>
      <c r="P13" s="12"/>
      <c r="Q13" s="20">
        <f t="shared" si="0"/>
        <v>8.5</v>
      </c>
    </row>
    <row r="14" spans="1:17" ht="21" customHeight="1" x14ac:dyDescent="0.3">
      <c r="A14" s="43">
        <v>13</v>
      </c>
      <c r="B14" s="43" t="s">
        <v>114</v>
      </c>
      <c r="C14" s="43"/>
      <c r="D14" s="43" t="s">
        <v>56</v>
      </c>
      <c r="E14" s="43">
        <v>43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/>
      <c r="M14" s="43"/>
      <c r="N14" s="43"/>
      <c r="O14" s="43"/>
      <c r="P14" s="43"/>
      <c r="Q14" s="46">
        <f t="shared" si="0"/>
        <v>43</v>
      </c>
    </row>
    <row r="15" spans="1:17" ht="21" customHeight="1" x14ac:dyDescent="0.3">
      <c r="A15" s="12">
        <v>14</v>
      </c>
      <c r="B15" s="12" t="s">
        <v>117</v>
      </c>
      <c r="C15" s="12"/>
      <c r="D15" s="12" t="s">
        <v>126</v>
      </c>
      <c r="E15" s="12">
        <v>33</v>
      </c>
      <c r="F15" s="12">
        <v>0</v>
      </c>
      <c r="G15" s="12">
        <v>0</v>
      </c>
      <c r="H15" s="12">
        <v>15</v>
      </c>
      <c r="I15" s="12">
        <v>35.200000000000003</v>
      </c>
      <c r="J15" s="12">
        <v>121</v>
      </c>
      <c r="K15" s="12">
        <v>2.6</v>
      </c>
      <c r="L15" s="12"/>
      <c r="M15" s="12"/>
      <c r="N15" s="12"/>
      <c r="O15" s="12"/>
      <c r="P15" s="12"/>
      <c r="Q15" s="20">
        <f t="shared" si="0"/>
        <v>206.79999999999998</v>
      </c>
    </row>
    <row r="16" spans="1:17" ht="21" customHeight="1" x14ac:dyDescent="0.3">
      <c r="A16" s="43">
        <v>15</v>
      </c>
      <c r="B16" s="43" t="s">
        <v>147</v>
      </c>
      <c r="C16" s="43"/>
      <c r="D16" s="43" t="s">
        <v>75</v>
      </c>
      <c r="E16" s="43"/>
      <c r="F16" s="43"/>
      <c r="G16" s="43"/>
      <c r="H16" s="43">
        <v>0</v>
      </c>
      <c r="I16" s="43">
        <v>0</v>
      </c>
      <c r="J16" s="43">
        <v>0</v>
      </c>
      <c r="K16" s="43">
        <v>0</v>
      </c>
      <c r="L16" s="43"/>
      <c r="M16" s="43"/>
      <c r="N16" s="43"/>
      <c r="O16" s="43"/>
      <c r="P16" s="43"/>
      <c r="Q16" s="46">
        <f t="shared" si="0"/>
        <v>0</v>
      </c>
    </row>
    <row r="17" spans="1:17" ht="21" customHeight="1" x14ac:dyDescent="0.3">
      <c r="A17" s="12">
        <v>16</v>
      </c>
      <c r="B17" s="12" t="s">
        <v>146</v>
      </c>
      <c r="C17" s="12" t="s">
        <v>123</v>
      </c>
      <c r="D17" s="12"/>
      <c r="E17" s="12"/>
      <c r="F17" s="12"/>
      <c r="G17" s="12"/>
      <c r="H17" s="12">
        <v>0</v>
      </c>
      <c r="I17" s="12">
        <v>31.7</v>
      </c>
      <c r="J17" s="12">
        <v>67.599999999999994</v>
      </c>
      <c r="K17" s="12">
        <v>52</v>
      </c>
      <c r="L17" s="12"/>
      <c r="M17" s="12"/>
      <c r="N17" s="12"/>
      <c r="O17" s="12"/>
      <c r="P17" s="12"/>
      <c r="Q17" s="20">
        <f t="shared" si="0"/>
        <v>151.30000000000001</v>
      </c>
    </row>
    <row r="18" spans="1:17" ht="21" customHeight="1" x14ac:dyDescent="0.3">
      <c r="A18" s="56">
        <v>17</v>
      </c>
      <c r="B18" s="56" t="s">
        <v>153</v>
      </c>
      <c r="C18" s="56"/>
      <c r="D18" s="56" t="s">
        <v>137</v>
      </c>
      <c r="E18" s="56"/>
      <c r="F18" s="56"/>
      <c r="G18" s="56"/>
      <c r="H18" s="56">
        <v>7.4</v>
      </c>
      <c r="I18" s="56">
        <v>16.5</v>
      </c>
      <c r="J18" s="56">
        <v>13</v>
      </c>
      <c r="K18" s="56">
        <v>0</v>
      </c>
      <c r="L18" s="56"/>
      <c r="M18" s="56"/>
      <c r="N18" s="56"/>
      <c r="O18" s="56"/>
      <c r="P18" s="56"/>
      <c r="Q18" s="57">
        <f>SUM(E18:P18)</f>
        <v>36.9</v>
      </c>
    </row>
    <row r="19" spans="1:17" ht="21" customHeight="1" x14ac:dyDescent="0.3">
      <c r="A19" s="12"/>
      <c r="B19" s="12" t="s">
        <v>178</v>
      </c>
      <c r="C19" s="12"/>
      <c r="D19" s="12" t="s">
        <v>75</v>
      </c>
      <c r="E19" s="12"/>
      <c r="F19" s="12"/>
      <c r="G19" s="12"/>
      <c r="H19" s="12"/>
      <c r="I19" s="12"/>
      <c r="J19" s="12">
        <v>84</v>
      </c>
      <c r="K19" s="12">
        <v>0</v>
      </c>
      <c r="L19" s="12"/>
      <c r="M19" s="12"/>
      <c r="N19" s="12"/>
      <c r="O19" s="12"/>
      <c r="P19" s="12"/>
      <c r="Q19" s="20">
        <f t="shared" si="0"/>
        <v>84</v>
      </c>
    </row>
    <row r="20" spans="1:17" ht="21" customHeight="1" x14ac:dyDescent="0.3">
      <c r="A20" s="56">
        <v>18</v>
      </c>
      <c r="B20" s="56" t="s">
        <v>163</v>
      </c>
      <c r="C20" s="56" t="s">
        <v>123</v>
      </c>
      <c r="D20" s="56"/>
      <c r="E20" s="56"/>
      <c r="F20" s="56"/>
      <c r="G20" s="56"/>
      <c r="H20" s="56"/>
      <c r="I20" s="56">
        <v>6.9</v>
      </c>
      <c r="J20" s="56">
        <v>0</v>
      </c>
      <c r="K20" s="56">
        <v>0</v>
      </c>
      <c r="L20" s="56"/>
      <c r="M20" s="56"/>
      <c r="N20" s="56"/>
      <c r="O20" s="56"/>
      <c r="P20" s="56"/>
      <c r="Q20" s="57">
        <f t="shared" si="0"/>
        <v>6.9</v>
      </c>
    </row>
    <row r="21" spans="1:17" ht="21" customHeight="1" x14ac:dyDescent="0.3">
      <c r="A21" s="12">
        <v>19</v>
      </c>
      <c r="B21" s="12" t="s">
        <v>119</v>
      </c>
      <c r="C21" s="12" t="s">
        <v>123</v>
      </c>
      <c r="D21" s="12" t="s">
        <v>61</v>
      </c>
      <c r="E21" s="12"/>
      <c r="F21" s="12">
        <v>8</v>
      </c>
      <c r="G21" s="12">
        <v>0</v>
      </c>
      <c r="H21" s="12">
        <v>0</v>
      </c>
      <c r="I21" s="12">
        <v>22.5</v>
      </c>
      <c r="J21" s="12">
        <v>11</v>
      </c>
      <c r="K21" s="12">
        <v>0</v>
      </c>
      <c r="L21" s="12"/>
      <c r="M21" s="12"/>
      <c r="N21" s="12"/>
      <c r="O21" s="12"/>
      <c r="P21" s="12"/>
      <c r="Q21" s="20">
        <f t="shared" si="0"/>
        <v>41.5</v>
      </c>
    </row>
    <row r="22" spans="1:17" ht="20.399999999999999" customHeight="1" x14ac:dyDescent="0.3">
      <c r="A22" s="84" t="s">
        <v>9</v>
      </c>
      <c r="B22" s="85"/>
      <c r="C22" s="85"/>
      <c r="D22" s="86"/>
      <c r="E22" s="3">
        <f t="shared" ref="E22:Q22" si="1">SUM(E2:E21)</f>
        <v>167.4</v>
      </c>
      <c r="F22" s="3">
        <f t="shared" si="1"/>
        <v>309.10000000000002</v>
      </c>
      <c r="G22" s="3">
        <f t="shared" si="1"/>
        <v>230.7</v>
      </c>
      <c r="H22" s="3">
        <f t="shared" si="1"/>
        <v>421.9</v>
      </c>
      <c r="I22" s="3">
        <f t="shared" si="1"/>
        <v>418.79999999999995</v>
      </c>
      <c r="J22" s="3">
        <f t="shared" si="1"/>
        <v>801.9</v>
      </c>
      <c r="K22" s="3">
        <f t="shared" si="1"/>
        <v>297.8</v>
      </c>
      <c r="L22" s="3">
        <f t="shared" si="1"/>
        <v>0</v>
      </c>
      <c r="M22" s="3">
        <f t="shared" si="1"/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22">
        <f t="shared" si="1"/>
        <v>2647.6000000000004</v>
      </c>
    </row>
  </sheetData>
  <mergeCells count="1">
    <mergeCell ref="A22:D22"/>
  </mergeCells>
  <pageMargins left="0.7" right="0.7" top="0.75" bottom="0.75" header="0.3" footer="0.3"/>
  <pageSetup orientation="landscape" r:id="rId1"/>
  <headerFooter>
    <oddHeader xml:space="preserve">&amp;R&amp;20شهرستان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EC7D-0DAA-4892-8EDF-C11413274C52}">
  <dimension ref="A1:Q11"/>
  <sheetViews>
    <sheetView rightToLeft="1" zoomScaleNormal="100" workbookViewId="0">
      <selection activeCell="K10" sqref="K10"/>
    </sheetView>
  </sheetViews>
  <sheetFormatPr defaultColWidth="8.88671875" defaultRowHeight="14.4" x14ac:dyDescent="0.3"/>
  <cols>
    <col min="1" max="1" width="5.109375" style="1" customWidth="1"/>
    <col min="2" max="2" width="16.6640625" style="1" customWidth="1"/>
    <col min="3" max="4" width="12.109375" style="1" customWidth="1"/>
    <col min="5" max="16" width="5.109375" style="1" customWidth="1"/>
    <col min="17" max="16384" width="8.88671875" style="1"/>
  </cols>
  <sheetData>
    <row r="1" spans="1:17" ht="23.4" customHeight="1" x14ac:dyDescent="0.3">
      <c r="A1" s="2" t="s">
        <v>0</v>
      </c>
      <c r="B1" s="2" t="s">
        <v>1</v>
      </c>
      <c r="C1" s="2" t="s">
        <v>116</v>
      </c>
      <c r="D1" s="2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 t="s">
        <v>18</v>
      </c>
    </row>
    <row r="2" spans="1:17" ht="21" customHeight="1" x14ac:dyDescent="0.3">
      <c r="A2" s="43">
        <v>1</v>
      </c>
      <c r="B2" s="54" t="s">
        <v>25</v>
      </c>
      <c r="C2" s="51"/>
      <c r="D2" s="43" t="s">
        <v>137</v>
      </c>
      <c r="E2" s="43">
        <v>0</v>
      </c>
      <c r="F2" s="43">
        <v>0</v>
      </c>
      <c r="G2" s="43">
        <v>0</v>
      </c>
      <c r="H2" s="43">
        <v>0</v>
      </c>
      <c r="I2" s="43">
        <v>53.8</v>
      </c>
      <c r="J2" s="43">
        <v>25.9</v>
      </c>
      <c r="K2" s="43">
        <v>16</v>
      </c>
      <c r="L2" s="43"/>
      <c r="M2" s="43"/>
      <c r="N2" s="43"/>
      <c r="O2" s="43"/>
      <c r="P2" s="43"/>
      <c r="Q2" s="46">
        <f t="shared" ref="Q2:Q10" si="0">SUM(E2:P2)</f>
        <v>95.699999999999989</v>
      </c>
    </row>
    <row r="3" spans="1:17" ht="21" customHeight="1" x14ac:dyDescent="0.3">
      <c r="A3" s="12">
        <v>2</v>
      </c>
      <c r="B3" s="28" t="s">
        <v>26</v>
      </c>
      <c r="C3" s="24" t="s">
        <v>123</v>
      </c>
      <c r="D3" s="12" t="s">
        <v>138</v>
      </c>
      <c r="E3" s="12">
        <v>76</v>
      </c>
      <c r="F3" s="12">
        <v>42</v>
      </c>
      <c r="G3" s="12">
        <v>144.9</v>
      </c>
      <c r="H3" s="12">
        <v>159</v>
      </c>
      <c r="I3" s="12">
        <v>133</v>
      </c>
      <c r="J3" s="12">
        <v>119</v>
      </c>
      <c r="K3" s="12">
        <v>65.3</v>
      </c>
      <c r="L3" s="12"/>
      <c r="M3" s="12"/>
      <c r="N3" s="12"/>
      <c r="O3" s="12"/>
      <c r="P3" s="12"/>
      <c r="Q3" s="20">
        <f t="shared" si="0"/>
        <v>739.19999999999993</v>
      </c>
    </row>
    <row r="4" spans="1:17" ht="21" customHeight="1" x14ac:dyDescent="0.3">
      <c r="A4" s="43">
        <v>3</v>
      </c>
      <c r="B4" s="54" t="s">
        <v>27</v>
      </c>
      <c r="C4" s="51" t="s">
        <v>123</v>
      </c>
      <c r="D4" s="43" t="s">
        <v>136</v>
      </c>
      <c r="E4" s="43">
        <v>40</v>
      </c>
      <c r="F4" s="43">
        <v>0</v>
      </c>
      <c r="G4" s="43">
        <v>19.5</v>
      </c>
      <c r="H4" s="43">
        <v>0</v>
      </c>
      <c r="I4" s="43">
        <v>0</v>
      </c>
      <c r="J4" s="43">
        <v>69</v>
      </c>
      <c r="K4" s="43">
        <v>45</v>
      </c>
      <c r="L4" s="43"/>
      <c r="M4" s="43"/>
      <c r="N4" s="43"/>
      <c r="O4" s="43"/>
      <c r="P4" s="43"/>
      <c r="Q4" s="46">
        <f t="shared" si="0"/>
        <v>173.5</v>
      </c>
    </row>
    <row r="5" spans="1:17" ht="21" customHeight="1" x14ac:dyDescent="0.3">
      <c r="A5" s="12">
        <v>4</v>
      </c>
      <c r="B5" s="28" t="s">
        <v>28</v>
      </c>
      <c r="C5" s="24" t="s">
        <v>123</v>
      </c>
      <c r="D5" s="12" t="s">
        <v>58</v>
      </c>
      <c r="E5" s="12">
        <v>0</v>
      </c>
      <c r="F5" s="12">
        <v>148</v>
      </c>
      <c r="G5" s="12">
        <v>0</v>
      </c>
      <c r="H5" s="12">
        <v>31</v>
      </c>
      <c r="I5" s="12">
        <v>34.799999999999997</v>
      </c>
      <c r="J5" s="12">
        <v>0</v>
      </c>
      <c r="K5" s="12">
        <v>0</v>
      </c>
      <c r="L5" s="12"/>
      <c r="M5" s="12"/>
      <c r="N5" s="12"/>
      <c r="O5" s="12"/>
      <c r="P5" s="12"/>
      <c r="Q5" s="20">
        <f t="shared" si="0"/>
        <v>213.8</v>
      </c>
    </row>
    <row r="6" spans="1:17" ht="21" customHeight="1" x14ac:dyDescent="0.3">
      <c r="A6" s="43">
        <v>5</v>
      </c>
      <c r="B6" s="54" t="s">
        <v>29</v>
      </c>
      <c r="C6" s="51"/>
      <c r="D6" s="43" t="s">
        <v>125</v>
      </c>
      <c r="E6" s="43">
        <v>0</v>
      </c>
      <c r="F6" s="43">
        <v>0</v>
      </c>
      <c r="G6" s="43">
        <v>0</v>
      </c>
      <c r="H6" s="43">
        <v>0</v>
      </c>
      <c r="I6" s="43">
        <v>29.6</v>
      </c>
      <c r="J6" s="43">
        <v>46.8</v>
      </c>
      <c r="K6" s="43">
        <v>0</v>
      </c>
      <c r="L6" s="43"/>
      <c r="M6" s="43"/>
      <c r="N6" s="43"/>
      <c r="O6" s="43"/>
      <c r="P6" s="43"/>
      <c r="Q6" s="46">
        <f t="shared" si="0"/>
        <v>76.400000000000006</v>
      </c>
    </row>
    <row r="7" spans="1:17" ht="21" customHeight="1" x14ac:dyDescent="0.3">
      <c r="A7" s="12">
        <v>6</v>
      </c>
      <c r="B7" s="28" t="s">
        <v>30</v>
      </c>
      <c r="C7" s="24" t="s">
        <v>123</v>
      </c>
      <c r="D7" s="12" t="s">
        <v>126</v>
      </c>
      <c r="E7" s="12">
        <v>0</v>
      </c>
      <c r="F7" s="12">
        <v>161</v>
      </c>
      <c r="G7" s="12">
        <v>81</v>
      </c>
      <c r="H7" s="12">
        <v>35</v>
      </c>
      <c r="I7" s="12">
        <v>24.9</v>
      </c>
      <c r="J7" s="12">
        <v>136</v>
      </c>
      <c r="K7" s="12">
        <v>161</v>
      </c>
      <c r="L7" s="12"/>
      <c r="M7" s="12"/>
      <c r="N7" s="12"/>
      <c r="O7" s="12"/>
      <c r="P7" s="12"/>
      <c r="Q7" s="20">
        <f t="shared" si="0"/>
        <v>598.9</v>
      </c>
    </row>
    <row r="8" spans="1:17" ht="21" customHeight="1" x14ac:dyDescent="0.3">
      <c r="A8" s="43">
        <v>7</v>
      </c>
      <c r="B8" s="54" t="s">
        <v>31</v>
      </c>
      <c r="C8" s="51" t="s">
        <v>123</v>
      </c>
      <c r="D8" s="43" t="s">
        <v>122</v>
      </c>
      <c r="E8" s="43">
        <v>0</v>
      </c>
      <c r="F8" s="43">
        <v>20.8</v>
      </c>
      <c r="G8" s="43">
        <v>10.7</v>
      </c>
      <c r="H8" s="43">
        <v>36</v>
      </c>
      <c r="I8" s="43">
        <v>22.4</v>
      </c>
      <c r="J8" s="43">
        <v>26.7</v>
      </c>
      <c r="K8" s="43">
        <v>15.3</v>
      </c>
      <c r="L8" s="43"/>
      <c r="M8" s="43"/>
      <c r="N8" s="43"/>
      <c r="O8" s="43"/>
      <c r="P8" s="43"/>
      <c r="Q8" s="46">
        <f t="shared" si="0"/>
        <v>131.9</v>
      </c>
    </row>
    <row r="9" spans="1:17" ht="21" customHeight="1" x14ac:dyDescent="0.3">
      <c r="A9" s="12">
        <v>8</v>
      </c>
      <c r="B9" s="28" t="s">
        <v>46</v>
      </c>
      <c r="C9" s="24"/>
      <c r="D9" s="29" t="s">
        <v>76</v>
      </c>
      <c r="E9" s="12">
        <v>22.5</v>
      </c>
      <c r="F9" s="12">
        <v>0</v>
      </c>
      <c r="G9" s="12">
        <v>0</v>
      </c>
      <c r="H9" s="12">
        <v>0</v>
      </c>
      <c r="I9" s="12">
        <v>0</v>
      </c>
      <c r="J9" s="12">
        <v>15</v>
      </c>
      <c r="K9" s="12">
        <v>29</v>
      </c>
      <c r="L9" s="12"/>
      <c r="M9" s="12"/>
      <c r="N9" s="12"/>
      <c r="O9" s="12"/>
      <c r="P9" s="12"/>
      <c r="Q9" s="20">
        <f t="shared" si="0"/>
        <v>66.5</v>
      </c>
    </row>
    <row r="10" spans="1:17" ht="21" customHeight="1" x14ac:dyDescent="0.3">
      <c r="A10" s="43">
        <v>9</v>
      </c>
      <c r="B10" s="54" t="s">
        <v>105</v>
      </c>
      <c r="C10" s="43"/>
      <c r="D10" s="43" t="s">
        <v>61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/>
      <c r="L10" s="43"/>
      <c r="M10" s="43"/>
      <c r="N10" s="43"/>
      <c r="O10" s="43"/>
      <c r="P10" s="43"/>
      <c r="Q10" s="46">
        <f t="shared" si="0"/>
        <v>0</v>
      </c>
    </row>
    <row r="11" spans="1:17" ht="20.399999999999999" customHeight="1" x14ac:dyDescent="0.3">
      <c r="A11" s="84" t="s">
        <v>9</v>
      </c>
      <c r="B11" s="85"/>
      <c r="C11" s="85"/>
      <c r="D11" s="86"/>
      <c r="E11" s="3">
        <f t="shared" ref="E11:Q11" si="1">SUM(E2:E10)</f>
        <v>138.5</v>
      </c>
      <c r="F11" s="3">
        <f t="shared" si="1"/>
        <v>371.8</v>
      </c>
      <c r="G11" s="3">
        <f t="shared" si="1"/>
        <v>256.10000000000002</v>
      </c>
      <c r="H11" s="3">
        <f t="shared" si="1"/>
        <v>261</v>
      </c>
      <c r="I11" s="3">
        <f t="shared" si="1"/>
        <v>298.5</v>
      </c>
      <c r="J11" s="3">
        <f t="shared" si="1"/>
        <v>438.4</v>
      </c>
      <c r="K11" s="3">
        <f t="shared" si="1"/>
        <v>331.6</v>
      </c>
      <c r="L11" s="3">
        <f t="shared" si="1"/>
        <v>0</v>
      </c>
      <c r="M11" s="3">
        <f t="shared" si="1"/>
        <v>0</v>
      </c>
      <c r="N11" s="3">
        <f t="shared" si="1"/>
        <v>0</v>
      </c>
      <c r="O11" s="3">
        <f t="shared" si="1"/>
        <v>0</v>
      </c>
      <c r="P11" s="3">
        <f t="shared" si="1"/>
        <v>0</v>
      </c>
      <c r="Q11" s="22">
        <f t="shared" si="1"/>
        <v>2095.9</v>
      </c>
    </row>
  </sheetData>
  <mergeCells count="1">
    <mergeCell ref="A11:D11"/>
  </mergeCells>
  <pageMargins left="0.7" right="0.7" top="0.75" bottom="0.75" header="0.3" footer="0.3"/>
  <pageSetup orientation="landscape" r:id="rId1"/>
  <headerFooter>
    <oddHeader>&amp;R&amp;20مشهد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1CFD-D605-46C5-AA22-7DDA676C6747}">
  <dimension ref="A1:R6"/>
  <sheetViews>
    <sheetView rightToLeft="1" zoomScaleNormal="100" workbookViewId="0">
      <selection activeCell="K6" sqref="K6"/>
    </sheetView>
  </sheetViews>
  <sheetFormatPr defaultColWidth="8.88671875" defaultRowHeight="14.4" x14ac:dyDescent="0.3"/>
  <cols>
    <col min="1" max="1" width="5.109375" style="1" customWidth="1"/>
    <col min="2" max="2" width="15.88671875" style="1" customWidth="1"/>
    <col min="3" max="4" width="11" style="1" customWidth="1"/>
    <col min="5" max="5" width="7.109375" style="1" customWidth="1"/>
    <col min="6" max="17" width="5.109375" style="1" customWidth="1"/>
    <col min="18" max="16384" width="8.88671875" style="1"/>
  </cols>
  <sheetData>
    <row r="1" spans="1:18" ht="37.200000000000003" customHeight="1" thickBot="1" x14ac:dyDescent="0.35">
      <c r="A1" s="10" t="s">
        <v>0</v>
      </c>
      <c r="B1" s="10" t="s">
        <v>1</v>
      </c>
      <c r="C1" s="10" t="s">
        <v>116</v>
      </c>
      <c r="D1" s="11" t="s">
        <v>144</v>
      </c>
      <c r="E1" s="11" t="s">
        <v>145</v>
      </c>
      <c r="F1" s="7">
        <v>1</v>
      </c>
      <c r="G1" s="8">
        <v>2</v>
      </c>
      <c r="H1" s="8">
        <v>3</v>
      </c>
      <c r="I1" s="8">
        <v>4</v>
      </c>
      <c r="J1" s="8">
        <v>5</v>
      </c>
      <c r="K1" s="8">
        <v>6</v>
      </c>
      <c r="L1" s="8">
        <v>7</v>
      </c>
      <c r="M1" s="8">
        <v>8</v>
      </c>
      <c r="N1" s="8">
        <v>9</v>
      </c>
      <c r="O1" s="8">
        <v>10</v>
      </c>
      <c r="P1" s="8">
        <v>11</v>
      </c>
      <c r="Q1" s="9">
        <v>12</v>
      </c>
      <c r="R1" s="14" t="s">
        <v>18</v>
      </c>
    </row>
    <row r="2" spans="1:18" ht="45" customHeight="1" thickBot="1" x14ac:dyDescent="0.35">
      <c r="A2" s="62">
        <v>1</v>
      </c>
      <c r="B2" s="63" t="s">
        <v>20</v>
      </c>
      <c r="C2" s="64">
        <v>4</v>
      </c>
      <c r="D2" s="65">
        <v>12</v>
      </c>
      <c r="E2" s="65">
        <v>2</v>
      </c>
      <c r="F2" s="62">
        <v>19</v>
      </c>
      <c r="G2" s="70">
        <v>104</v>
      </c>
      <c r="H2" s="70">
        <v>92</v>
      </c>
      <c r="I2" s="70">
        <v>135</v>
      </c>
      <c r="J2" s="70">
        <v>96</v>
      </c>
      <c r="K2" s="70">
        <v>209</v>
      </c>
      <c r="L2" s="70">
        <v>71.8</v>
      </c>
      <c r="M2" s="70"/>
      <c r="N2" s="70"/>
      <c r="O2" s="70"/>
      <c r="P2" s="70"/>
      <c r="Q2" s="71"/>
      <c r="R2" s="69">
        <f>SUM(F2:Q2)</f>
        <v>726.8</v>
      </c>
    </row>
    <row r="3" spans="1:18" ht="45" customHeight="1" thickBot="1" x14ac:dyDescent="0.35">
      <c r="A3" s="5">
        <v>2</v>
      </c>
      <c r="B3" s="6" t="s">
        <v>159</v>
      </c>
      <c r="C3" s="55"/>
      <c r="D3" s="13">
        <v>29</v>
      </c>
      <c r="E3" s="13"/>
      <c r="F3" s="5">
        <v>14.6</v>
      </c>
      <c r="G3" s="19">
        <v>122</v>
      </c>
      <c r="H3" s="19">
        <v>42</v>
      </c>
      <c r="I3" s="19">
        <v>36</v>
      </c>
      <c r="J3" s="19">
        <v>148</v>
      </c>
      <c r="K3" s="19">
        <v>79</v>
      </c>
      <c r="L3" s="19">
        <v>47.4</v>
      </c>
      <c r="M3" s="19"/>
      <c r="N3" s="19"/>
      <c r="O3" s="19"/>
      <c r="P3" s="19"/>
      <c r="Q3" s="16"/>
      <c r="R3" s="21">
        <f t="shared" ref="R3:R5" si="0">SUM(F3:Q3)</f>
        <v>489</v>
      </c>
    </row>
    <row r="4" spans="1:18" ht="45" customHeight="1" thickBot="1" x14ac:dyDescent="0.35">
      <c r="A4" s="62">
        <v>3</v>
      </c>
      <c r="B4" s="63" t="s">
        <v>143</v>
      </c>
      <c r="C4" s="64">
        <v>5</v>
      </c>
      <c r="D4" s="65">
        <v>3</v>
      </c>
      <c r="E4" s="65">
        <v>7</v>
      </c>
      <c r="F4" s="66"/>
      <c r="G4" s="67"/>
      <c r="H4" s="67"/>
      <c r="I4" s="67"/>
      <c r="J4" s="67">
        <v>63</v>
      </c>
      <c r="K4" s="67">
        <v>93</v>
      </c>
      <c r="L4" s="67">
        <v>72</v>
      </c>
      <c r="M4" s="67"/>
      <c r="N4" s="67"/>
      <c r="O4" s="67"/>
      <c r="P4" s="67"/>
      <c r="Q4" s="68"/>
      <c r="R4" s="69">
        <f t="shared" si="0"/>
        <v>228</v>
      </c>
    </row>
    <row r="5" spans="1:18" ht="45" customHeight="1" thickBot="1" x14ac:dyDescent="0.35">
      <c r="A5" s="5">
        <v>4</v>
      </c>
      <c r="B5" s="6" t="s">
        <v>21</v>
      </c>
      <c r="C5" s="55">
        <v>10</v>
      </c>
      <c r="D5" s="13">
        <v>49</v>
      </c>
      <c r="E5" s="13">
        <v>11</v>
      </c>
      <c r="F5" s="15">
        <v>406</v>
      </c>
      <c r="G5" s="18">
        <v>459</v>
      </c>
      <c r="H5" s="18">
        <v>541</v>
      </c>
      <c r="I5" s="18">
        <v>491</v>
      </c>
      <c r="J5" s="18">
        <v>665</v>
      </c>
      <c r="K5" s="18">
        <v>759</v>
      </c>
      <c r="L5" s="18">
        <v>422</v>
      </c>
      <c r="M5" s="18"/>
      <c r="N5" s="18"/>
      <c r="O5" s="18"/>
      <c r="P5" s="18"/>
      <c r="Q5" s="17"/>
      <c r="R5" s="21">
        <f t="shared" si="0"/>
        <v>3743</v>
      </c>
    </row>
    <row r="6" spans="1:18" ht="45" customHeight="1" thickBot="1" x14ac:dyDescent="0.35">
      <c r="A6" s="87" t="s">
        <v>22</v>
      </c>
      <c r="B6" s="88"/>
      <c r="C6" s="88"/>
      <c r="D6" s="89"/>
      <c r="E6" s="89"/>
      <c r="F6" s="15">
        <f t="shared" ref="F6:R6" si="1">SUM(F2:F5)</f>
        <v>439.6</v>
      </c>
      <c r="G6" s="18">
        <f>SUM(G2:G5)</f>
        <v>685</v>
      </c>
      <c r="H6" s="18">
        <f t="shared" si="1"/>
        <v>675</v>
      </c>
      <c r="I6" s="18">
        <f t="shared" si="1"/>
        <v>662</v>
      </c>
      <c r="J6" s="18">
        <f t="shared" si="1"/>
        <v>972</v>
      </c>
      <c r="K6" s="18">
        <f t="shared" si="1"/>
        <v>1140</v>
      </c>
      <c r="L6" s="18">
        <f t="shared" si="1"/>
        <v>613.20000000000005</v>
      </c>
      <c r="M6" s="18">
        <f t="shared" si="1"/>
        <v>0</v>
      </c>
      <c r="N6" s="18">
        <f>SUM(N2:N5)</f>
        <v>0</v>
      </c>
      <c r="O6" s="18">
        <f t="shared" si="1"/>
        <v>0</v>
      </c>
      <c r="P6" s="18">
        <f>SUM(P2:P5)</f>
        <v>0</v>
      </c>
      <c r="Q6" s="17">
        <f t="shared" si="1"/>
        <v>0</v>
      </c>
      <c r="R6" s="23">
        <f t="shared" si="1"/>
        <v>5186.8</v>
      </c>
    </row>
  </sheetData>
  <mergeCells count="1">
    <mergeCell ref="A6:E6"/>
  </mergeCells>
  <pageMargins left="0.7" right="0.7" top="0.75" bottom="0.75" header="0.3" footer="0.3"/>
  <pageSetup orientation="landscape" r:id="rId1"/>
  <headerFooter>
    <oddHeader>&amp;R&amp;22نماینده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2F49-202E-41F2-AAD8-F8F7E0AE1660}">
  <dimension ref="A1:Q24"/>
  <sheetViews>
    <sheetView rightToLeft="1" zoomScale="110" zoomScaleNormal="110" workbookViewId="0">
      <selection activeCell="K16" sqref="K16"/>
    </sheetView>
  </sheetViews>
  <sheetFormatPr defaultColWidth="8.88671875" defaultRowHeight="14.4" x14ac:dyDescent="0.3"/>
  <cols>
    <col min="1" max="1" width="4.109375" style="1" customWidth="1"/>
    <col min="2" max="2" width="17.6640625" style="1" customWidth="1"/>
    <col min="3" max="4" width="9.77734375" style="1" customWidth="1"/>
    <col min="5" max="16" width="5.109375" style="1" customWidth="1"/>
    <col min="17" max="17" width="8.109375" style="1" customWidth="1"/>
    <col min="18" max="16384" width="8.88671875" style="1"/>
  </cols>
  <sheetData>
    <row r="1" spans="1:17" ht="21.6" customHeight="1" x14ac:dyDescent="0.3">
      <c r="A1" s="40" t="s">
        <v>0</v>
      </c>
      <c r="B1" s="41" t="s">
        <v>1</v>
      </c>
      <c r="C1" s="40" t="s">
        <v>116</v>
      </c>
      <c r="D1" s="40" t="s">
        <v>2</v>
      </c>
      <c r="E1" s="42">
        <v>1</v>
      </c>
      <c r="F1" s="42">
        <v>2</v>
      </c>
      <c r="G1" s="42">
        <v>3</v>
      </c>
      <c r="H1" s="42">
        <v>4</v>
      </c>
      <c r="I1" s="42">
        <v>5</v>
      </c>
      <c r="J1" s="42">
        <v>6</v>
      </c>
      <c r="K1" s="42">
        <v>7</v>
      </c>
      <c r="L1" s="42">
        <v>8</v>
      </c>
      <c r="M1" s="42">
        <v>9</v>
      </c>
      <c r="N1" s="42">
        <v>10</v>
      </c>
      <c r="O1" s="42">
        <v>11</v>
      </c>
      <c r="P1" s="42">
        <v>12</v>
      </c>
      <c r="Q1" s="42" t="s">
        <v>18</v>
      </c>
    </row>
    <row r="2" spans="1:17" ht="19.5" customHeight="1" x14ac:dyDescent="0.3">
      <c r="A2" s="56">
        <v>1</v>
      </c>
      <c r="B2" s="59" t="s">
        <v>65</v>
      </c>
      <c r="C2" s="60"/>
      <c r="D2" s="60" t="s">
        <v>120</v>
      </c>
      <c r="E2" s="56">
        <v>11</v>
      </c>
      <c r="F2" s="56">
        <v>26</v>
      </c>
      <c r="G2" s="56">
        <v>0</v>
      </c>
      <c r="H2" s="56">
        <v>0</v>
      </c>
      <c r="I2" s="56">
        <v>38.700000000000003</v>
      </c>
      <c r="J2" s="56">
        <v>0</v>
      </c>
      <c r="K2" s="56">
        <v>11.4</v>
      </c>
      <c r="L2" s="56"/>
      <c r="M2" s="56"/>
      <c r="N2" s="56"/>
      <c r="O2" s="56"/>
      <c r="P2" s="56"/>
      <c r="Q2" s="57">
        <f>SUM(E2:P2)</f>
        <v>87.100000000000009</v>
      </c>
    </row>
    <row r="3" spans="1:17" ht="19.5" customHeight="1" x14ac:dyDescent="0.3">
      <c r="A3" s="12">
        <v>2</v>
      </c>
      <c r="B3" s="31" t="s">
        <v>82</v>
      </c>
      <c r="C3" s="30"/>
      <c r="D3" s="30" t="s">
        <v>122</v>
      </c>
      <c r="E3" s="12">
        <v>0</v>
      </c>
      <c r="F3" s="12">
        <v>21</v>
      </c>
      <c r="G3" s="12">
        <v>30</v>
      </c>
      <c r="H3" s="12">
        <v>95</v>
      </c>
      <c r="I3" s="12">
        <v>29</v>
      </c>
      <c r="J3" s="12">
        <v>35.5</v>
      </c>
      <c r="K3" s="12">
        <v>33</v>
      </c>
      <c r="L3" s="12"/>
      <c r="M3" s="12"/>
      <c r="N3" s="12"/>
      <c r="O3" s="12"/>
      <c r="P3" s="12"/>
      <c r="Q3" s="20">
        <f t="shared" ref="Q3:Q13" si="0">SUM(E3:P3)</f>
        <v>243.5</v>
      </c>
    </row>
    <row r="4" spans="1:17" ht="19.5" customHeight="1" x14ac:dyDescent="0.3">
      <c r="A4" s="56">
        <v>3</v>
      </c>
      <c r="B4" s="59" t="s">
        <v>179</v>
      </c>
      <c r="C4" s="60"/>
      <c r="D4" s="60" t="s">
        <v>55</v>
      </c>
      <c r="E4" s="56"/>
      <c r="F4" s="56"/>
      <c r="G4" s="56"/>
      <c r="H4" s="56"/>
      <c r="I4" s="56"/>
      <c r="J4" s="56">
        <v>31</v>
      </c>
      <c r="K4" s="56">
        <v>0</v>
      </c>
      <c r="L4" s="56"/>
      <c r="M4" s="56"/>
      <c r="N4" s="56"/>
      <c r="O4" s="56"/>
      <c r="P4" s="56"/>
      <c r="Q4" s="57">
        <f t="shared" si="0"/>
        <v>31</v>
      </c>
    </row>
    <row r="5" spans="1:17" ht="19.5" customHeight="1" x14ac:dyDescent="0.3">
      <c r="A5" s="12">
        <v>4</v>
      </c>
      <c r="B5" s="31" t="s">
        <v>66</v>
      </c>
      <c r="C5" s="30"/>
      <c r="D5" s="30" t="s">
        <v>121</v>
      </c>
      <c r="E5" s="12">
        <v>0</v>
      </c>
      <c r="F5" s="12">
        <v>2</v>
      </c>
      <c r="G5" s="12">
        <v>0</v>
      </c>
      <c r="H5" s="12">
        <v>0</v>
      </c>
      <c r="I5" s="12">
        <v>20.5</v>
      </c>
      <c r="J5" s="12">
        <v>13.2</v>
      </c>
      <c r="K5" s="12">
        <v>0</v>
      </c>
      <c r="L5" s="12"/>
      <c r="M5" s="12"/>
      <c r="N5" s="12"/>
      <c r="O5" s="12"/>
      <c r="P5" s="12"/>
      <c r="Q5" s="20">
        <f t="shared" si="0"/>
        <v>35.700000000000003</v>
      </c>
    </row>
    <row r="6" spans="1:17" ht="19.5" customHeight="1" x14ac:dyDescent="0.3">
      <c r="A6" s="56">
        <v>5</v>
      </c>
      <c r="B6" s="59" t="s">
        <v>92</v>
      </c>
      <c r="C6" s="60"/>
      <c r="D6" s="60" t="s">
        <v>58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/>
      <c r="M6" s="56"/>
      <c r="N6" s="56"/>
      <c r="O6" s="56"/>
      <c r="P6" s="56"/>
      <c r="Q6" s="57">
        <f t="shared" si="0"/>
        <v>0</v>
      </c>
    </row>
    <row r="7" spans="1:17" ht="19.5" customHeight="1" x14ac:dyDescent="0.3">
      <c r="A7" s="12">
        <v>6</v>
      </c>
      <c r="B7" s="31" t="s">
        <v>67</v>
      </c>
      <c r="C7" s="30" t="s">
        <v>123</v>
      </c>
      <c r="D7" s="30" t="s">
        <v>62</v>
      </c>
      <c r="E7" s="12">
        <v>0</v>
      </c>
      <c r="F7" s="12">
        <v>6</v>
      </c>
      <c r="G7" s="12">
        <v>0</v>
      </c>
      <c r="H7" s="12">
        <v>14</v>
      </c>
      <c r="I7" s="12">
        <v>20.3</v>
      </c>
      <c r="J7" s="12">
        <v>0</v>
      </c>
      <c r="K7" s="12">
        <v>68.099999999999994</v>
      </c>
      <c r="L7" s="12"/>
      <c r="M7" s="12"/>
      <c r="N7" s="12"/>
      <c r="O7" s="12"/>
      <c r="P7" s="12"/>
      <c r="Q7" s="20">
        <f t="shared" si="0"/>
        <v>108.39999999999999</v>
      </c>
    </row>
    <row r="8" spans="1:17" ht="19.5" customHeight="1" x14ac:dyDescent="0.3">
      <c r="A8" s="56">
        <v>7</v>
      </c>
      <c r="B8" s="59" t="s">
        <v>68</v>
      </c>
      <c r="C8" s="60" t="s">
        <v>123</v>
      </c>
      <c r="D8" s="60" t="s">
        <v>124</v>
      </c>
      <c r="E8" s="56">
        <v>70</v>
      </c>
      <c r="F8" s="56">
        <v>27.2</v>
      </c>
      <c r="G8" s="56">
        <v>0</v>
      </c>
      <c r="H8" s="56">
        <v>33</v>
      </c>
      <c r="I8" s="56">
        <v>33</v>
      </c>
      <c r="J8" s="56">
        <v>16.8</v>
      </c>
      <c r="K8" s="56">
        <v>11.5</v>
      </c>
      <c r="L8" s="56"/>
      <c r="M8" s="56"/>
      <c r="N8" s="56"/>
      <c r="O8" s="56"/>
      <c r="P8" s="56"/>
      <c r="Q8" s="57">
        <f t="shared" si="0"/>
        <v>191.5</v>
      </c>
    </row>
    <row r="9" spans="1:17" ht="19.5" customHeight="1" x14ac:dyDescent="0.3">
      <c r="A9" s="12">
        <v>8</v>
      </c>
      <c r="B9" s="31" t="s">
        <v>69</v>
      </c>
      <c r="C9" s="30"/>
      <c r="D9" s="30" t="s">
        <v>55</v>
      </c>
      <c r="E9" s="12">
        <v>24.6</v>
      </c>
      <c r="F9" s="12">
        <v>0</v>
      </c>
      <c r="G9" s="12">
        <v>0</v>
      </c>
      <c r="H9" s="12">
        <v>0</v>
      </c>
      <c r="I9" s="12">
        <v>7.9</v>
      </c>
      <c r="J9" s="12">
        <v>0</v>
      </c>
      <c r="K9" s="12">
        <v>0</v>
      </c>
      <c r="L9" s="12"/>
      <c r="M9" s="12"/>
      <c r="N9" s="12"/>
      <c r="O9" s="12"/>
      <c r="P9" s="12"/>
      <c r="Q9" s="20">
        <f t="shared" si="0"/>
        <v>32.5</v>
      </c>
    </row>
    <row r="10" spans="1:17" ht="19.5" customHeight="1" x14ac:dyDescent="0.3">
      <c r="A10" s="56">
        <v>9</v>
      </c>
      <c r="B10" s="59" t="s">
        <v>70</v>
      </c>
      <c r="C10" s="60"/>
      <c r="D10" s="60" t="s">
        <v>58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/>
      <c r="M10" s="56"/>
      <c r="N10" s="56"/>
      <c r="O10" s="56"/>
      <c r="P10" s="56"/>
      <c r="Q10" s="57">
        <f t="shared" si="0"/>
        <v>0</v>
      </c>
    </row>
    <row r="11" spans="1:17" ht="19.5" customHeight="1" x14ac:dyDescent="0.3">
      <c r="A11" s="12">
        <v>10</v>
      </c>
      <c r="B11" s="31" t="s">
        <v>71</v>
      </c>
      <c r="C11" s="30"/>
      <c r="D11" s="30" t="s">
        <v>125</v>
      </c>
      <c r="E11" s="12">
        <v>0</v>
      </c>
      <c r="F11" s="12">
        <v>29</v>
      </c>
      <c r="G11" s="12">
        <v>7.5</v>
      </c>
      <c r="H11" s="12">
        <v>14</v>
      </c>
      <c r="I11" s="12">
        <v>0</v>
      </c>
      <c r="J11" s="12">
        <v>7</v>
      </c>
      <c r="K11" s="12">
        <v>40</v>
      </c>
      <c r="L11" s="12"/>
      <c r="M11" s="12"/>
      <c r="N11" s="12"/>
      <c r="O11" s="12"/>
      <c r="P11" s="12"/>
      <c r="Q11" s="20">
        <f t="shared" si="0"/>
        <v>97.5</v>
      </c>
    </row>
    <row r="12" spans="1:17" ht="19.5" customHeight="1" x14ac:dyDescent="0.3">
      <c r="A12" s="56">
        <v>11</v>
      </c>
      <c r="B12" s="59" t="s">
        <v>72</v>
      </c>
      <c r="C12" s="60"/>
      <c r="D12" s="60" t="s">
        <v>56</v>
      </c>
      <c r="E12" s="56">
        <v>8.3000000000000007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/>
      <c r="M12" s="56"/>
      <c r="N12" s="56"/>
      <c r="O12" s="56"/>
      <c r="P12" s="56"/>
      <c r="Q12" s="57">
        <f t="shared" si="0"/>
        <v>8.3000000000000007</v>
      </c>
    </row>
    <row r="13" spans="1:17" ht="19.5" customHeight="1" x14ac:dyDescent="0.3">
      <c r="A13" s="12">
        <v>12</v>
      </c>
      <c r="B13" s="31" t="s">
        <v>73</v>
      </c>
      <c r="C13" s="30"/>
      <c r="D13" s="30" t="s">
        <v>122</v>
      </c>
      <c r="E13" s="12">
        <v>0</v>
      </c>
      <c r="F13" s="12">
        <v>0</v>
      </c>
      <c r="G13" s="12">
        <v>0</v>
      </c>
      <c r="H13" s="12">
        <v>20</v>
      </c>
      <c r="I13" s="12">
        <v>13.2</v>
      </c>
      <c r="J13" s="12">
        <v>0</v>
      </c>
      <c r="K13" s="12">
        <v>0</v>
      </c>
      <c r="L13" s="12"/>
      <c r="M13" s="12"/>
      <c r="N13" s="12"/>
      <c r="O13" s="12"/>
      <c r="P13" s="12"/>
      <c r="Q13" s="20">
        <f t="shared" si="0"/>
        <v>33.200000000000003</v>
      </c>
    </row>
    <row r="14" spans="1:17" ht="19.5" customHeight="1" x14ac:dyDescent="0.3">
      <c r="A14" s="56">
        <v>13</v>
      </c>
      <c r="B14" s="59" t="s">
        <v>74</v>
      </c>
      <c r="C14" s="60" t="s">
        <v>123</v>
      </c>
      <c r="D14" s="60" t="s">
        <v>126</v>
      </c>
      <c r="E14" s="56">
        <v>50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11</v>
      </c>
      <c r="L14" s="56"/>
      <c r="M14" s="56"/>
      <c r="N14" s="56"/>
      <c r="O14" s="56"/>
      <c r="P14" s="56"/>
      <c r="Q14" s="57">
        <f t="shared" ref="Q14:Q15" si="1">SUM(E14:P14)</f>
        <v>61</v>
      </c>
    </row>
    <row r="15" spans="1:17" ht="19.5" customHeight="1" x14ac:dyDescent="0.3">
      <c r="A15" s="12">
        <v>14</v>
      </c>
      <c r="B15" s="31" t="s">
        <v>127</v>
      </c>
      <c r="C15" s="30"/>
      <c r="D15" s="30" t="s">
        <v>55</v>
      </c>
      <c r="E15" s="12"/>
      <c r="F15" s="12"/>
      <c r="G15" s="12"/>
      <c r="H15" s="12">
        <v>0</v>
      </c>
      <c r="I15" s="12">
        <v>0</v>
      </c>
      <c r="J15" s="12">
        <v>13.8</v>
      </c>
      <c r="K15" s="12">
        <v>0</v>
      </c>
      <c r="L15" s="12"/>
      <c r="M15" s="12"/>
      <c r="N15" s="12"/>
      <c r="O15" s="12"/>
      <c r="P15" s="12"/>
      <c r="Q15" s="20">
        <f t="shared" si="1"/>
        <v>13.8</v>
      </c>
    </row>
    <row r="16" spans="1:17" ht="19.5" customHeight="1" x14ac:dyDescent="0.3">
      <c r="A16" s="56">
        <v>15</v>
      </c>
      <c r="B16" s="59" t="s">
        <v>134</v>
      </c>
      <c r="C16" s="61"/>
      <c r="D16" s="60" t="s">
        <v>126</v>
      </c>
      <c r="E16" s="56">
        <v>0</v>
      </c>
      <c r="F16" s="56">
        <v>8.3000000000000007</v>
      </c>
      <c r="G16" s="56">
        <v>0</v>
      </c>
      <c r="H16" s="56">
        <v>0</v>
      </c>
      <c r="I16" s="56">
        <v>48</v>
      </c>
      <c r="J16" s="56">
        <v>24.5</v>
      </c>
      <c r="K16" s="56">
        <v>32</v>
      </c>
      <c r="L16" s="56"/>
      <c r="M16" s="56"/>
      <c r="N16" s="56"/>
      <c r="O16" s="56"/>
      <c r="P16" s="56"/>
      <c r="Q16" s="57">
        <f t="shared" ref="Q16:Q23" si="2">SUM(E16:P16)</f>
        <v>112.8</v>
      </c>
    </row>
    <row r="17" spans="1:17" ht="19.5" customHeight="1" x14ac:dyDescent="0.3">
      <c r="A17" s="12">
        <v>16</v>
      </c>
      <c r="B17" s="31" t="s">
        <v>133</v>
      </c>
      <c r="C17" s="27"/>
      <c r="D17" s="30" t="s">
        <v>104</v>
      </c>
      <c r="E17" s="12">
        <v>7.5</v>
      </c>
      <c r="F17" s="12">
        <v>0</v>
      </c>
      <c r="G17" s="12">
        <v>0</v>
      </c>
      <c r="H17" s="12">
        <v>8</v>
      </c>
      <c r="I17" s="12">
        <v>0</v>
      </c>
      <c r="J17" s="12">
        <v>0</v>
      </c>
      <c r="K17" s="12">
        <v>0</v>
      </c>
      <c r="L17" s="12"/>
      <c r="M17" s="12"/>
      <c r="N17" s="12"/>
      <c r="O17" s="12"/>
      <c r="P17" s="12"/>
      <c r="Q17" s="20">
        <f t="shared" si="2"/>
        <v>15.5</v>
      </c>
    </row>
    <row r="18" spans="1:17" ht="19.5" customHeight="1" x14ac:dyDescent="0.3">
      <c r="A18" s="56">
        <v>17</v>
      </c>
      <c r="B18" s="56" t="s">
        <v>132</v>
      </c>
      <c r="C18" s="61" t="s">
        <v>123</v>
      </c>
      <c r="D18" s="60" t="s">
        <v>56</v>
      </c>
      <c r="E18" s="56">
        <v>0</v>
      </c>
      <c r="F18" s="56">
        <v>0</v>
      </c>
      <c r="G18" s="56">
        <v>0</v>
      </c>
      <c r="H18" s="56">
        <v>0</v>
      </c>
      <c r="I18" s="56">
        <v>17.7</v>
      </c>
      <c r="J18" s="56">
        <v>13.5</v>
      </c>
      <c r="K18" s="56">
        <v>0</v>
      </c>
      <c r="L18" s="56"/>
      <c r="M18" s="56"/>
      <c r="N18" s="56"/>
      <c r="O18" s="56"/>
      <c r="P18" s="56"/>
      <c r="Q18" s="57">
        <f t="shared" si="2"/>
        <v>31.2</v>
      </c>
    </row>
    <row r="19" spans="1:17" ht="19.5" customHeight="1" x14ac:dyDescent="0.3">
      <c r="A19" s="12">
        <v>18</v>
      </c>
      <c r="B19" s="31" t="s">
        <v>131</v>
      </c>
      <c r="C19" s="27"/>
      <c r="D19" s="30" t="s">
        <v>56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/>
      <c r="M19" s="12"/>
      <c r="N19" s="12"/>
      <c r="O19" s="12"/>
      <c r="P19" s="12"/>
      <c r="Q19" s="20">
        <f t="shared" si="2"/>
        <v>0</v>
      </c>
    </row>
    <row r="20" spans="1:17" ht="19.5" customHeight="1" x14ac:dyDescent="0.3">
      <c r="A20" s="56">
        <v>19</v>
      </c>
      <c r="B20" s="59" t="s">
        <v>130</v>
      </c>
      <c r="C20" s="61"/>
      <c r="D20" s="60" t="s">
        <v>56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/>
      <c r="M20" s="56"/>
      <c r="N20" s="56"/>
      <c r="O20" s="56"/>
      <c r="P20" s="56"/>
      <c r="Q20" s="57">
        <f t="shared" si="2"/>
        <v>0</v>
      </c>
    </row>
    <row r="21" spans="1:17" ht="19.5" customHeight="1" x14ac:dyDescent="0.3">
      <c r="A21" s="12">
        <v>20</v>
      </c>
      <c r="B21" s="31" t="s">
        <v>129</v>
      </c>
      <c r="C21" s="27"/>
      <c r="D21" s="30" t="s">
        <v>104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/>
      <c r="M21" s="12"/>
      <c r="N21" s="12"/>
      <c r="O21" s="12"/>
      <c r="P21" s="12"/>
      <c r="Q21" s="20">
        <f t="shared" si="2"/>
        <v>0</v>
      </c>
    </row>
    <row r="22" spans="1:17" ht="19.5" customHeight="1" x14ac:dyDescent="0.3">
      <c r="A22" s="56">
        <v>21</v>
      </c>
      <c r="B22" s="59" t="s">
        <v>135</v>
      </c>
      <c r="C22" s="61"/>
      <c r="D22" s="60" t="s">
        <v>121</v>
      </c>
      <c r="E22" s="56"/>
      <c r="F22" s="56"/>
      <c r="G22" s="56"/>
      <c r="H22" s="56">
        <v>0</v>
      </c>
      <c r="I22" s="56">
        <v>0</v>
      </c>
      <c r="J22" s="56">
        <v>0</v>
      </c>
      <c r="K22" s="56">
        <v>0</v>
      </c>
      <c r="L22" s="56"/>
      <c r="M22" s="56"/>
      <c r="N22" s="56"/>
      <c r="O22" s="56"/>
      <c r="P22" s="56"/>
      <c r="Q22" s="57">
        <f t="shared" si="2"/>
        <v>0</v>
      </c>
    </row>
    <row r="23" spans="1:17" ht="19.5" customHeight="1" x14ac:dyDescent="0.3">
      <c r="A23" s="12">
        <v>22</v>
      </c>
      <c r="B23" s="31" t="s">
        <v>128</v>
      </c>
      <c r="C23" s="27" t="s">
        <v>123</v>
      </c>
      <c r="D23" s="30"/>
      <c r="E23" s="12">
        <v>0</v>
      </c>
      <c r="F23" s="12">
        <v>19.5</v>
      </c>
      <c r="G23" s="12">
        <v>0</v>
      </c>
      <c r="H23" s="12">
        <v>0</v>
      </c>
      <c r="I23" s="12">
        <v>0</v>
      </c>
      <c r="J23" s="12">
        <v>0</v>
      </c>
      <c r="K23" s="12">
        <v>4.4000000000000004</v>
      </c>
      <c r="L23" s="12"/>
      <c r="M23" s="12"/>
      <c r="N23" s="12"/>
      <c r="O23" s="12"/>
      <c r="P23" s="12"/>
      <c r="Q23" s="20">
        <f t="shared" si="2"/>
        <v>23.9</v>
      </c>
    </row>
    <row r="24" spans="1:17" ht="22.5" customHeight="1" thickBot="1" x14ac:dyDescent="0.35">
      <c r="A24" s="90" t="s">
        <v>9</v>
      </c>
      <c r="B24" s="91"/>
      <c r="C24" s="91"/>
      <c r="D24" s="92"/>
      <c r="E24" s="47">
        <f>SUM(E2:E23)</f>
        <v>171.39999999999998</v>
      </c>
      <c r="F24" s="47">
        <f t="shared" ref="F24:P24" si="3">SUM(F2:F23)</f>
        <v>139</v>
      </c>
      <c r="G24" s="47">
        <f t="shared" si="3"/>
        <v>37.5</v>
      </c>
      <c r="H24" s="47">
        <f t="shared" si="3"/>
        <v>184</v>
      </c>
      <c r="I24" s="47">
        <f t="shared" si="3"/>
        <v>228.29999999999998</v>
      </c>
      <c r="J24" s="47">
        <f t="shared" si="3"/>
        <v>155.30000000000001</v>
      </c>
      <c r="K24" s="47">
        <f t="shared" si="3"/>
        <v>211.4</v>
      </c>
      <c r="L24" s="47">
        <f>SUM(L2:L23)</f>
        <v>0</v>
      </c>
      <c r="M24" s="47">
        <f t="shared" si="3"/>
        <v>0</v>
      </c>
      <c r="N24" s="47">
        <f t="shared" si="3"/>
        <v>0</v>
      </c>
      <c r="O24" s="47">
        <f t="shared" si="3"/>
        <v>0</v>
      </c>
      <c r="P24" s="47">
        <f t="shared" si="3"/>
        <v>0</v>
      </c>
      <c r="Q24" s="48">
        <f>SUM(Q2:Q23)</f>
        <v>1126.9000000000001</v>
      </c>
    </row>
  </sheetData>
  <mergeCells count="1">
    <mergeCell ref="A24:D24"/>
  </mergeCells>
  <pageMargins left="0.7" right="0.7" top="0.75" bottom="0.75" header="0.3" footer="0.3"/>
  <pageSetup orientation="landscape" r:id="rId1"/>
  <headerFooter>
    <oddHeader>&amp;R&amp;20مازندران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42E8-AF0D-4AF8-8A21-24ED4CA5D689}">
  <dimension ref="A1:Q12"/>
  <sheetViews>
    <sheetView rightToLeft="1" zoomScale="90" zoomScaleNormal="90" workbookViewId="0">
      <selection activeCell="K12" sqref="K12"/>
    </sheetView>
  </sheetViews>
  <sheetFormatPr defaultColWidth="8.88671875" defaultRowHeight="14.4" x14ac:dyDescent="0.3"/>
  <cols>
    <col min="1" max="1" width="5.109375" style="1" customWidth="1"/>
    <col min="2" max="2" width="15.88671875" style="1" customWidth="1"/>
    <col min="3" max="4" width="11.77734375" style="1" customWidth="1"/>
    <col min="5" max="16" width="5.109375" style="1" customWidth="1"/>
    <col min="17" max="16384" width="8.88671875" style="1"/>
  </cols>
  <sheetData>
    <row r="1" spans="1:17" ht="23.4" customHeight="1" x14ac:dyDescent="0.3">
      <c r="A1" s="2" t="s">
        <v>0</v>
      </c>
      <c r="B1" s="2" t="s">
        <v>1</v>
      </c>
      <c r="C1" s="2" t="s">
        <v>116</v>
      </c>
      <c r="D1" s="2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 t="s">
        <v>18</v>
      </c>
    </row>
    <row r="2" spans="1:17" ht="21.75" customHeight="1" x14ac:dyDescent="0.3">
      <c r="A2" s="12">
        <v>1</v>
      </c>
      <c r="B2" s="31" t="s">
        <v>32</v>
      </c>
      <c r="C2" s="24" t="s">
        <v>123</v>
      </c>
      <c r="D2" s="12" t="s">
        <v>126</v>
      </c>
      <c r="E2" s="12">
        <v>0</v>
      </c>
      <c r="F2" s="12">
        <v>97</v>
      </c>
      <c r="G2" s="12">
        <v>63</v>
      </c>
      <c r="H2" s="12">
        <v>41</v>
      </c>
      <c r="I2" s="12">
        <v>0</v>
      </c>
      <c r="J2" s="12">
        <v>19.8</v>
      </c>
      <c r="K2" s="12">
        <v>9.8000000000000007</v>
      </c>
      <c r="L2" s="12"/>
      <c r="M2" s="12"/>
      <c r="N2" s="12"/>
      <c r="O2" s="12"/>
      <c r="P2" s="12"/>
      <c r="Q2" s="20">
        <f>SUM(E2:P2)</f>
        <v>230.60000000000002</v>
      </c>
    </row>
    <row r="3" spans="1:17" ht="21.75" customHeight="1" x14ac:dyDescent="0.3">
      <c r="A3" s="43">
        <v>2</v>
      </c>
      <c r="B3" s="43" t="s">
        <v>33</v>
      </c>
      <c r="C3" s="51"/>
      <c r="D3" s="43" t="s">
        <v>138</v>
      </c>
      <c r="E3" s="43">
        <v>0</v>
      </c>
      <c r="F3" s="43">
        <v>0</v>
      </c>
      <c r="G3" s="43">
        <v>0</v>
      </c>
      <c r="H3" s="43">
        <v>0</v>
      </c>
      <c r="I3" s="43">
        <v>16</v>
      </c>
      <c r="J3" s="43">
        <v>7.9</v>
      </c>
      <c r="K3" s="43">
        <v>0</v>
      </c>
      <c r="L3" s="43"/>
      <c r="M3" s="43"/>
      <c r="N3" s="43"/>
      <c r="O3" s="43"/>
      <c r="P3" s="43"/>
      <c r="Q3" s="46">
        <f t="shared" ref="Q3:Q11" si="0">SUM(E3:P3)</f>
        <v>23.9</v>
      </c>
    </row>
    <row r="4" spans="1:17" ht="21.75" customHeight="1" x14ac:dyDescent="0.3">
      <c r="A4" s="12">
        <v>3</v>
      </c>
      <c r="B4" s="12" t="s">
        <v>34</v>
      </c>
      <c r="C4" s="24" t="s">
        <v>123</v>
      </c>
      <c r="D4" s="12" t="s">
        <v>120</v>
      </c>
      <c r="E4" s="12">
        <v>16.5</v>
      </c>
      <c r="F4" s="12">
        <v>47</v>
      </c>
      <c r="G4" s="12">
        <v>118</v>
      </c>
      <c r="H4" s="12">
        <v>0</v>
      </c>
      <c r="I4" s="12">
        <v>6</v>
      </c>
      <c r="J4" s="12">
        <v>0</v>
      </c>
      <c r="K4" s="12">
        <v>22.6</v>
      </c>
      <c r="L4" s="12"/>
      <c r="M4" s="12"/>
      <c r="N4" s="12"/>
      <c r="O4" s="12"/>
      <c r="P4" s="12"/>
      <c r="Q4" s="20">
        <f t="shared" si="0"/>
        <v>210.1</v>
      </c>
    </row>
    <row r="5" spans="1:17" ht="21.75" customHeight="1" x14ac:dyDescent="0.3">
      <c r="A5" s="43">
        <v>4</v>
      </c>
      <c r="B5" s="43" t="s">
        <v>35</v>
      </c>
      <c r="C5" s="51"/>
      <c r="D5" s="43" t="s">
        <v>55</v>
      </c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/>
      <c r="M5" s="43"/>
      <c r="N5" s="43"/>
      <c r="O5" s="43"/>
      <c r="P5" s="43"/>
      <c r="Q5" s="46">
        <f t="shared" si="0"/>
        <v>0</v>
      </c>
    </row>
    <row r="6" spans="1:17" ht="21.75" customHeight="1" x14ac:dyDescent="0.3">
      <c r="A6" s="12">
        <v>5</v>
      </c>
      <c r="B6" s="12" t="s">
        <v>36</v>
      </c>
      <c r="C6" s="24"/>
      <c r="D6" s="12" t="s">
        <v>60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/>
      <c r="M6" s="12"/>
      <c r="N6" s="12"/>
      <c r="O6" s="12"/>
      <c r="P6" s="12"/>
      <c r="Q6" s="20">
        <f t="shared" si="0"/>
        <v>0</v>
      </c>
    </row>
    <row r="7" spans="1:17" ht="21.75" customHeight="1" x14ac:dyDescent="0.3">
      <c r="A7" s="43">
        <v>6</v>
      </c>
      <c r="B7" s="43" t="s">
        <v>37</v>
      </c>
      <c r="C7" s="43"/>
      <c r="D7" s="43" t="s">
        <v>55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/>
      <c r="M7" s="43"/>
      <c r="N7" s="43"/>
      <c r="O7" s="43"/>
      <c r="P7" s="43"/>
      <c r="Q7" s="46">
        <f t="shared" si="0"/>
        <v>0</v>
      </c>
    </row>
    <row r="8" spans="1:17" ht="21.75" customHeight="1" x14ac:dyDescent="0.3">
      <c r="A8" s="12">
        <v>7</v>
      </c>
      <c r="B8" s="12" t="s">
        <v>64</v>
      </c>
      <c r="C8" s="24"/>
      <c r="D8" s="12" t="s">
        <v>61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/>
      <c r="M8" s="12"/>
      <c r="N8" s="12"/>
      <c r="O8" s="12"/>
      <c r="P8" s="12"/>
      <c r="Q8" s="20">
        <f t="shared" si="0"/>
        <v>0</v>
      </c>
    </row>
    <row r="9" spans="1:17" ht="21.75" customHeight="1" x14ac:dyDescent="0.3">
      <c r="A9" s="43">
        <v>8</v>
      </c>
      <c r="B9" s="43" t="s">
        <v>94</v>
      </c>
      <c r="C9" s="43"/>
      <c r="D9" s="43" t="s">
        <v>58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4.2</v>
      </c>
      <c r="L9" s="43"/>
      <c r="M9" s="43"/>
      <c r="N9" s="43"/>
      <c r="O9" s="43"/>
      <c r="P9" s="43"/>
      <c r="Q9" s="46">
        <f t="shared" ref="Q9:Q10" si="1">SUM(E9:P9)</f>
        <v>4.2</v>
      </c>
    </row>
    <row r="10" spans="1:17" ht="21.75" customHeight="1" x14ac:dyDescent="0.3">
      <c r="A10" s="12">
        <v>9</v>
      </c>
      <c r="B10" s="28" t="s">
        <v>106</v>
      </c>
      <c r="C10" s="31"/>
      <c r="D10" s="31" t="s">
        <v>61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/>
      <c r="M10" s="12"/>
      <c r="N10" s="12"/>
      <c r="O10" s="12"/>
      <c r="P10" s="12"/>
      <c r="Q10" s="20">
        <f t="shared" si="1"/>
        <v>0</v>
      </c>
    </row>
    <row r="11" spans="1:17" ht="21.75" customHeight="1" x14ac:dyDescent="0.3">
      <c r="A11" s="43">
        <v>10</v>
      </c>
      <c r="B11" s="43" t="s">
        <v>48</v>
      </c>
      <c r="C11" s="43"/>
      <c r="D11" s="43" t="s">
        <v>63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/>
      <c r="M11" s="43"/>
      <c r="N11" s="43"/>
      <c r="O11" s="43"/>
      <c r="P11" s="43"/>
      <c r="Q11" s="46">
        <f t="shared" si="0"/>
        <v>0</v>
      </c>
    </row>
    <row r="12" spans="1:17" ht="20.399999999999999" customHeight="1" x14ac:dyDescent="0.3">
      <c r="A12" s="93" t="s">
        <v>9</v>
      </c>
      <c r="B12" s="94"/>
      <c r="C12" s="94"/>
      <c r="D12" s="95"/>
      <c r="E12" s="12">
        <f>SUM(E2:E11)</f>
        <v>16.5</v>
      </c>
      <c r="F12" s="12">
        <f t="shared" ref="F12:P12" si="2">SUM(F2:F11)</f>
        <v>144</v>
      </c>
      <c r="G12" s="12">
        <f t="shared" si="2"/>
        <v>181</v>
      </c>
      <c r="H12" s="12">
        <f t="shared" si="2"/>
        <v>41</v>
      </c>
      <c r="I12" s="12">
        <f t="shared" si="2"/>
        <v>22</v>
      </c>
      <c r="J12" s="12">
        <f t="shared" si="2"/>
        <v>27.700000000000003</v>
      </c>
      <c r="K12" s="12">
        <f>SUM(K2:K11)</f>
        <v>36.600000000000009</v>
      </c>
      <c r="L12" s="12">
        <f t="shared" si="2"/>
        <v>0</v>
      </c>
      <c r="M12" s="12">
        <f t="shared" si="2"/>
        <v>0</v>
      </c>
      <c r="N12" s="12">
        <f t="shared" si="2"/>
        <v>0</v>
      </c>
      <c r="O12" s="12">
        <f t="shared" si="2"/>
        <v>0</v>
      </c>
      <c r="P12" s="12">
        <f t="shared" si="2"/>
        <v>0</v>
      </c>
      <c r="Q12" s="50">
        <f>SUM(Q2:Q11)</f>
        <v>468.8</v>
      </c>
    </row>
  </sheetData>
  <mergeCells count="1">
    <mergeCell ref="A12:D12"/>
  </mergeCells>
  <pageMargins left="0.7" right="0.7" top="0.75" bottom="0.75" header="0.3" footer="0.3"/>
  <pageSetup orientation="landscape" r:id="rId1"/>
  <headerFooter>
    <oddHeader xml:space="preserve">&amp;R&amp;20شیراز&amp;11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E2B4-86F9-435C-AB5C-C9A55FE742C0}">
  <dimension ref="A1:Q14"/>
  <sheetViews>
    <sheetView rightToLeft="1" zoomScaleNormal="100" workbookViewId="0">
      <selection activeCell="K14" sqref="K14"/>
    </sheetView>
  </sheetViews>
  <sheetFormatPr defaultColWidth="8.88671875" defaultRowHeight="14.4" x14ac:dyDescent="0.3"/>
  <cols>
    <col min="1" max="1" width="5" style="1" customWidth="1"/>
    <col min="2" max="2" width="15.109375" style="1" customWidth="1"/>
    <col min="3" max="4" width="10.6640625" style="1" customWidth="1"/>
    <col min="5" max="16" width="5.109375" style="1" customWidth="1"/>
    <col min="17" max="16384" width="8.88671875" style="1"/>
  </cols>
  <sheetData>
    <row r="1" spans="1:17" ht="23.4" customHeight="1" x14ac:dyDescent="0.3">
      <c r="A1" s="2" t="s">
        <v>0</v>
      </c>
      <c r="B1" s="2" t="s">
        <v>1</v>
      </c>
      <c r="C1" s="2" t="s">
        <v>116</v>
      </c>
      <c r="D1" s="2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 t="s">
        <v>18</v>
      </c>
    </row>
    <row r="2" spans="1:17" ht="21" customHeight="1" x14ac:dyDescent="0.3">
      <c r="A2" s="72">
        <v>1</v>
      </c>
      <c r="B2" s="74" t="s">
        <v>19</v>
      </c>
      <c r="C2" s="73"/>
      <c r="D2" s="72" t="s">
        <v>122</v>
      </c>
      <c r="E2" s="72">
        <v>42</v>
      </c>
      <c r="F2" s="72">
        <v>0</v>
      </c>
      <c r="G2" s="72">
        <v>25</v>
      </c>
      <c r="H2" s="72">
        <v>23</v>
      </c>
      <c r="I2" s="72">
        <v>12.5</v>
      </c>
      <c r="J2" s="72">
        <v>31</v>
      </c>
      <c r="K2" s="72">
        <v>0</v>
      </c>
      <c r="L2" s="72"/>
      <c r="M2" s="72"/>
      <c r="N2" s="72"/>
      <c r="O2" s="72"/>
      <c r="P2" s="72"/>
      <c r="Q2" s="75">
        <f>SUM(E2:P2)</f>
        <v>133.5</v>
      </c>
    </row>
    <row r="3" spans="1:17" ht="21" customHeight="1" x14ac:dyDescent="0.3">
      <c r="A3" s="12">
        <v>2</v>
      </c>
      <c r="B3" s="31" t="s">
        <v>79</v>
      </c>
      <c r="C3" s="24"/>
      <c r="D3" s="12" t="s">
        <v>125</v>
      </c>
      <c r="E3" s="12">
        <v>0</v>
      </c>
      <c r="F3" s="12">
        <v>0</v>
      </c>
      <c r="G3" s="12">
        <v>8</v>
      </c>
      <c r="H3" s="12">
        <v>53</v>
      </c>
      <c r="I3" s="12">
        <v>64</v>
      </c>
      <c r="J3" s="12">
        <v>20.9</v>
      </c>
      <c r="K3" s="12">
        <v>25</v>
      </c>
      <c r="L3" s="12"/>
      <c r="M3" s="12"/>
      <c r="N3" s="12"/>
      <c r="O3" s="12"/>
      <c r="P3" s="12"/>
      <c r="Q3" s="20">
        <f>SUM(E3:P3)</f>
        <v>170.9</v>
      </c>
    </row>
    <row r="4" spans="1:17" ht="21" customHeight="1" x14ac:dyDescent="0.3">
      <c r="A4" s="72">
        <v>3</v>
      </c>
      <c r="B4" s="72" t="s">
        <v>43</v>
      </c>
      <c r="C4" s="73" t="s">
        <v>123</v>
      </c>
      <c r="D4" s="72" t="s">
        <v>120</v>
      </c>
      <c r="E4" s="72">
        <v>0</v>
      </c>
      <c r="F4" s="72">
        <v>0</v>
      </c>
      <c r="G4" s="72">
        <v>0</v>
      </c>
      <c r="H4" s="72">
        <v>0</v>
      </c>
      <c r="I4" s="72">
        <v>9.8000000000000007</v>
      </c>
      <c r="J4" s="72">
        <v>27.2</v>
      </c>
      <c r="K4" s="72">
        <v>21.3</v>
      </c>
      <c r="L4" s="72"/>
      <c r="M4" s="72"/>
      <c r="N4" s="72"/>
      <c r="O4" s="72"/>
      <c r="P4" s="72"/>
      <c r="Q4" s="75">
        <f t="shared" ref="Q4:Q13" si="0">SUM(E4:P4)</f>
        <v>58.3</v>
      </c>
    </row>
    <row r="5" spans="1:17" ht="21" customHeight="1" x14ac:dyDescent="0.3">
      <c r="A5" s="12">
        <v>4</v>
      </c>
      <c r="B5" s="12" t="s">
        <v>151</v>
      </c>
      <c r="C5" s="24"/>
      <c r="D5" s="12" t="s">
        <v>75</v>
      </c>
      <c r="E5" s="12"/>
      <c r="F5" s="12"/>
      <c r="G5" s="12"/>
      <c r="H5" s="12">
        <v>0</v>
      </c>
      <c r="I5" s="12">
        <v>0</v>
      </c>
      <c r="J5" s="12">
        <v>0</v>
      </c>
      <c r="K5" s="12">
        <v>10.8</v>
      </c>
      <c r="L5" s="12"/>
      <c r="M5" s="12"/>
      <c r="N5" s="12"/>
      <c r="O5" s="12"/>
      <c r="P5" s="12"/>
      <c r="Q5" s="20">
        <f t="shared" si="0"/>
        <v>10.8</v>
      </c>
    </row>
    <row r="6" spans="1:17" ht="21" customHeight="1" x14ac:dyDescent="0.3">
      <c r="A6" s="72">
        <v>5</v>
      </c>
      <c r="B6" s="72" t="s">
        <v>44</v>
      </c>
      <c r="C6" s="73" t="s">
        <v>123</v>
      </c>
      <c r="D6" s="72" t="s">
        <v>60</v>
      </c>
      <c r="E6" s="72">
        <v>0</v>
      </c>
      <c r="F6" s="72">
        <v>0</v>
      </c>
      <c r="G6" s="72">
        <v>0</v>
      </c>
      <c r="H6" s="72">
        <v>5</v>
      </c>
      <c r="I6" s="72">
        <v>14.8</v>
      </c>
      <c r="J6" s="72">
        <v>0</v>
      </c>
      <c r="K6" s="72">
        <v>15.6</v>
      </c>
      <c r="L6" s="72"/>
      <c r="M6" s="72"/>
      <c r="N6" s="72"/>
      <c r="O6" s="72"/>
      <c r="P6" s="72"/>
      <c r="Q6" s="75">
        <f t="shared" si="0"/>
        <v>35.4</v>
      </c>
    </row>
    <row r="7" spans="1:17" ht="21" customHeight="1" x14ac:dyDescent="0.3">
      <c r="A7" s="12">
        <v>6</v>
      </c>
      <c r="B7" s="12" t="s">
        <v>80</v>
      </c>
      <c r="C7" s="24" t="s">
        <v>123</v>
      </c>
      <c r="D7" s="12" t="s">
        <v>120</v>
      </c>
      <c r="E7" s="12">
        <v>60</v>
      </c>
      <c r="F7" s="12">
        <v>9.5</v>
      </c>
      <c r="G7" s="12">
        <v>23</v>
      </c>
      <c r="H7" s="12">
        <v>13</v>
      </c>
      <c r="I7" s="12">
        <v>30</v>
      </c>
      <c r="J7" s="12">
        <v>49.6</v>
      </c>
      <c r="K7" s="12">
        <v>46.3</v>
      </c>
      <c r="L7" s="12"/>
      <c r="M7" s="12"/>
      <c r="N7" s="12"/>
      <c r="O7" s="12"/>
      <c r="P7" s="12"/>
      <c r="Q7" s="20">
        <f t="shared" si="0"/>
        <v>231.39999999999998</v>
      </c>
    </row>
    <row r="8" spans="1:17" ht="21" customHeight="1" x14ac:dyDescent="0.3">
      <c r="A8" s="72">
        <v>7</v>
      </c>
      <c r="B8" s="72" t="s">
        <v>81</v>
      </c>
      <c r="C8" s="73" t="s">
        <v>123</v>
      </c>
      <c r="D8" s="77" t="s">
        <v>56</v>
      </c>
      <c r="E8" s="72">
        <v>25</v>
      </c>
      <c r="F8" s="72">
        <v>0</v>
      </c>
      <c r="G8" s="72">
        <v>12</v>
      </c>
      <c r="H8" s="72">
        <v>0</v>
      </c>
      <c r="I8" s="72">
        <v>58.6</v>
      </c>
      <c r="J8" s="72">
        <v>39.6</v>
      </c>
      <c r="K8" s="72">
        <v>36.299999999999997</v>
      </c>
      <c r="L8" s="72"/>
      <c r="M8" s="72"/>
      <c r="N8" s="72"/>
      <c r="O8" s="72"/>
      <c r="P8" s="72"/>
      <c r="Q8" s="75">
        <f t="shared" si="0"/>
        <v>171.5</v>
      </c>
    </row>
    <row r="9" spans="1:17" ht="21" customHeight="1" x14ac:dyDescent="0.3">
      <c r="A9" s="12">
        <v>8</v>
      </c>
      <c r="B9" s="12" t="s">
        <v>91</v>
      </c>
      <c r="C9" s="24"/>
      <c r="D9" s="12" t="s">
        <v>56</v>
      </c>
      <c r="E9" s="12">
        <v>6.5</v>
      </c>
      <c r="F9" s="12">
        <v>38.700000000000003</v>
      </c>
      <c r="G9" s="12">
        <v>3</v>
      </c>
      <c r="H9" s="12">
        <v>4</v>
      </c>
      <c r="I9" s="12">
        <v>9.5</v>
      </c>
      <c r="J9" s="12">
        <v>6.4</v>
      </c>
      <c r="K9" s="12">
        <v>0</v>
      </c>
      <c r="L9" s="12"/>
      <c r="M9" s="12"/>
      <c r="N9" s="12"/>
      <c r="O9" s="12"/>
      <c r="P9" s="12"/>
      <c r="Q9" s="20">
        <f t="shared" si="0"/>
        <v>68.100000000000009</v>
      </c>
    </row>
    <row r="10" spans="1:17" ht="21" customHeight="1" x14ac:dyDescent="0.3">
      <c r="A10" s="72">
        <v>9</v>
      </c>
      <c r="B10" s="72" t="s">
        <v>103</v>
      </c>
      <c r="C10" s="73"/>
      <c r="D10" s="72" t="s">
        <v>61</v>
      </c>
      <c r="E10" s="72">
        <v>0</v>
      </c>
      <c r="F10" s="72">
        <v>0</v>
      </c>
      <c r="G10" s="72">
        <v>7.2</v>
      </c>
      <c r="H10" s="72">
        <v>0</v>
      </c>
      <c r="I10" s="72">
        <v>0</v>
      </c>
      <c r="J10" s="72">
        <v>0</v>
      </c>
      <c r="K10" s="72">
        <v>0</v>
      </c>
      <c r="L10" s="72"/>
      <c r="M10" s="72"/>
      <c r="N10" s="72"/>
      <c r="O10" s="72"/>
      <c r="P10" s="72"/>
      <c r="Q10" s="75">
        <f t="shared" si="0"/>
        <v>7.2</v>
      </c>
    </row>
    <row r="11" spans="1:17" ht="21" customHeight="1" x14ac:dyDescent="0.3">
      <c r="A11" s="12">
        <v>11</v>
      </c>
      <c r="B11" s="12" t="s">
        <v>162</v>
      </c>
      <c r="C11" s="24"/>
      <c r="D11" s="12" t="s">
        <v>126</v>
      </c>
      <c r="E11" s="12"/>
      <c r="F11" s="12"/>
      <c r="G11" s="12"/>
      <c r="H11" s="12"/>
      <c r="I11" s="12">
        <v>41</v>
      </c>
      <c r="J11" s="12">
        <v>0</v>
      </c>
      <c r="K11" s="12">
        <v>10</v>
      </c>
      <c r="L11" s="12"/>
      <c r="M11" s="12"/>
      <c r="N11" s="12"/>
      <c r="O11" s="12"/>
      <c r="P11" s="12"/>
      <c r="Q11" s="20">
        <f t="shared" si="0"/>
        <v>51</v>
      </c>
    </row>
    <row r="12" spans="1:17" ht="21" customHeight="1" x14ac:dyDescent="0.3">
      <c r="A12" s="72">
        <v>12</v>
      </c>
      <c r="B12" s="72" t="s">
        <v>177</v>
      </c>
      <c r="C12" s="73"/>
      <c r="D12" s="72" t="s">
        <v>122</v>
      </c>
      <c r="E12" s="72"/>
      <c r="F12" s="72"/>
      <c r="G12" s="72"/>
      <c r="H12" s="72"/>
      <c r="I12" s="72"/>
      <c r="J12" s="72">
        <v>0</v>
      </c>
      <c r="K12" s="72">
        <v>63.7</v>
      </c>
      <c r="L12" s="72"/>
      <c r="M12" s="72"/>
      <c r="N12" s="72"/>
      <c r="O12" s="72"/>
      <c r="P12" s="72"/>
      <c r="Q12" s="75">
        <f t="shared" si="0"/>
        <v>63.7</v>
      </c>
    </row>
    <row r="13" spans="1:17" ht="21" customHeight="1" x14ac:dyDescent="0.3">
      <c r="A13" s="12">
        <v>13</v>
      </c>
      <c r="B13" s="28" t="s">
        <v>115</v>
      </c>
      <c r="C13" s="27"/>
      <c r="D13" s="29" t="s">
        <v>54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/>
      <c r="M13" s="12"/>
      <c r="N13" s="12"/>
      <c r="O13" s="12"/>
      <c r="P13" s="12"/>
      <c r="Q13" s="20">
        <f t="shared" si="0"/>
        <v>0</v>
      </c>
    </row>
    <row r="14" spans="1:17" ht="20.399999999999999" customHeight="1" x14ac:dyDescent="0.3">
      <c r="A14" s="84" t="s">
        <v>9</v>
      </c>
      <c r="B14" s="85"/>
      <c r="C14" s="85"/>
      <c r="D14" s="86"/>
      <c r="E14" s="3">
        <f t="shared" ref="E14:P14" si="1">SUM(E2:E13)</f>
        <v>133.5</v>
      </c>
      <c r="F14" s="3">
        <f t="shared" si="1"/>
        <v>48.2</v>
      </c>
      <c r="G14" s="3">
        <f t="shared" si="1"/>
        <v>78.2</v>
      </c>
      <c r="H14" s="3">
        <f t="shared" si="1"/>
        <v>98</v>
      </c>
      <c r="I14" s="3">
        <f t="shared" si="1"/>
        <v>240.2</v>
      </c>
      <c r="J14" s="3">
        <f t="shared" si="1"/>
        <v>174.7</v>
      </c>
      <c r="K14" s="3">
        <f t="shared" si="1"/>
        <v>229</v>
      </c>
      <c r="L14" s="3">
        <f t="shared" si="1"/>
        <v>0</v>
      </c>
      <c r="M14" s="3">
        <f t="shared" si="1"/>
        <v>0</v>
      </c>
      <c r="N14" s="3">
        <f t="shared" si="1"/>
        <v>0</v>
      </c>
      <c r="O14" s="3">
        <f t="shared" si="1"/>
        <v>0</v>
      </c>
      <c r="P14" s="3">
        <f t="shared" si="1"/>
        <v>0</v>
      </c>
      <c r="Q14" s="22">
        <f>SUM(Q2:Q13)</f>
        <v>1001.8000000000001</v>
      </c>
    </row>
  </sheetData>
  <mergeCells count="1">
    <mergeCell ref="A14:D14"/>
  </mergeCells>
  <pageMargins left="0.7" right="0.7" top="0.75" bottom="0.75" header="0.3" footer="0.3"/>
  <pageSetup orientation="landscape" r:id="rId1"/>
  <headerFooter>
    <oddHeader>&amp;R&amp;20کرج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7802-F26D-4587-8644-F34AF1D8CDB6}">
  <dimension ref="A1:Q22"/>
  <sheetViews>
    <sheetView rightToLeft="1" tabSelected="1" zoomScaleNormal="100" workbookViewId="0">
      <selection activeCell="K12" sqref="K12"/>
    </sheetView>
  </sheetViews>
  <sheetFormatPr defaultColWidth="8.88671875" defaultRowHeight="14.4" x14ac:dyDescent="0.3"/>
  <cols>
    <col min="1" max="1" width="4.109375" style="1" customWidth="1"/>
    <col min="2" max="2" width="20.77734375" style="1" customWidth="1"/>
    <col min="3" max="4" width="9.77734375" style="1" customWidth="1"/>
    <col min="5" max="16" width="5.109375" style="1" customWidth="1"/>
    <col min="17" max="17" width="8.109375" style="1" customWidth="1"/>
    <col min="18" max="16384" width="8.88671875" style="1"/>
  </cols>
  <sheetData>
    <row r="1" spans="1:17" ht="21.6" customHeight="1" x14ac:dyDescent="0.3">
      <c r="A1" s="40" t="s">
        <v>0</v>
      </c>
      <c r="B1" s="41" t="s">
        <v>1</v>
      </c>
      <c r="C1" s="40" t="s">
        <v>116</v>
      </c>
      <c r="D1" s="40" t="s">
        <v>2</v>
      </c>
      <c r="E1" s="42">
        <v>1</v>
      </c>
      <c r="F1" s="42">
        <v>2</v>
      </c>
      <c r="G1" s="42">
        <v>3</v>
      </c>
      <c r="H1" s="42">
        <v>4</v>
      </c>
      <c r="I1" s="42">
        <v>5</v>
      </c>
      <c r="J1" s="42">
        <v>6</v>
      </c>
      <c r="K1" s="42">
        <v>7</v>
      </c>
      <c r="L1" s="42">
        <v>8</v>
      </c>
      <c r="M1" s="42">
        <v>9</v>
      </c>
      <c r="N1" s="42">
        <v>10</v>
      </c>
      <c r="O1" s="42">
        <v>11</v>
      </c>
      <c r="P1" s="42">
        <v>12</v>
      </c>
      <c r="Q1" s="42" t="s">
        <v>18</v>
      </c>
    </row>
    <row r="2" spans="1:17" ht="19.5" customHeight="1" x14ac:dyDescent="0.3">
      <c r="A2" s="56">
        <v>1</v>
      </c>
      <c r="B2" s="59" t="s">
        <v>166</v>
      </c>
      <c r="C2" s="60"/>
      <c r="D2" s="60" t="s">
        <v>56</v>
      </c>
      <c r="E2" s="56"/>
      <c r="F2" s="56"/>
      <c r="G2" s="56"/>
      <c r="H2" s="56"/>
      <c r="I2" s="56"/>
      <c r="J2" s="56">
        <v>0</v>
      </c>
      <c r="K2" s="56">
        <v>0</v>
      </c>
      <c r="L2" s="56"/>
      <c r="M2" s="56"/>
      <c r="N2" s="56"/>
      <c r="O2" s="56"/>
      <c r="P2" s="56"/>
      <c r="Q2" s="57">
        <f>SUM(E2:P2)</f>
        <v>0</v>
      </c>
    </row>
    <row r="3" spans="1:17" ht="19.5" customHeight="1" x14ac:dyDescent="0.3">
      <c r="A3" s="12">
        <v>2</v>
      </c>
      <c r="B3" s="31" t="s">
        <v>167</v>
      </c>
      <c r="C3" s="30"/>
      <c r="D3" s="30" t="s">
        <v>136</v>
      </c>
      <c r="E3" s="12"/>
      <c r="F3" s="12"/>
      <c r="G3" s="12"/>
      <c r="H3" s="12"/>
      <c r="I3" s="12"/>
      <c r="J3" s="12">
        <v>0</v>
      </c>
      <c r="K3" s="12">
        <v>0</v>
      </c>
      <c r="L3" s="12"/>
      <c r="M3" s="12"/>
      <c r="N3" s="12"/>
      <c r="O3" s="12"/>
      <c r="P3" s="12"/>
      <c r="Q3" s="20">
        <f t="shared" ref="Q3:Q21" si="0">SUM(E3:P3)</f>
        <v>0</v>
      </c>
    </row>
    <row r="4" spans="1:17" ht="19.5" customHeight="1" x14ac:dyDescent="0.3">
      <c r="A4" s="56">
        <v>3</v>
      </c>
      <c r="B4" s="59" t="s">
        <v>168</v>
      </c>
      <c r="C4" s="60"/>
      <c r="D4" s="60" t="s">
        <v>169</v>
      </c>
      <c r="E4" s="56"/>
      <c r="F4" s="56"/>
      <c r="G4" s="56"/>
      <c r="H4" s="56"/>
      <c r="I4" s="56"/>
      <c r="J4" s="56">
        <v>0</v>
      </c>
      <c r="K4" s="56">
        <v>0</v>
      </c>
      <c r="L4" s="56"/>
      <c r="M4" s="56"/>
      <c r="N4" s="56"/>
      <c r="O4" s="56"/>
      <c r="P4" s="56"/>
      <c r="Q4" s="57">
        <f t="shared" si="0"/>
        <v>0</v>
      </c>
    </row>
    <row r="5" spans="1:17" ht="19.5" customHeight="1" x14ac:dyDescent="0.3">
      <c r="A5" s="12">
        <v>4</v>
      </c>
      <c r="B5" s="31" t="s">
        <v>170</v>
      </c>
      <c r="C5" s="30"/>
      <c r="D5" s="30" t="s">
        <v>75</v>
      </c>
      <c r="E5" s="12"/>
      <c r="F5" s="12"/>
      <c r="G5" s="12"/>
      <c r="H5" s="12"/>
      <c r="I5" s="12"/>
      <c r="J5" s="12">
        <v>0</v>
      </c>
      <c r="K5" s="12">
        <v>0</v>
      </c>
      <c r="L5" s="12"/>
      <c r="M5" s="12"/>
      <c r="N5" s="12"/>
      <c r="O5" s="12"/>
      <c r="P5" s="12"/>
      <c r="Q5" s="20">
        <f t="shared" si="0"/>
        <v>0</v>
      </c>
    </row>
    <row r="6" spans="1:17" ht="19.5" customHeight="1" x14ac:dyDescent="0.3">
      <c r="A6" s="56">
        <v>5</v>
      </c>
      <c r="B6" s="59" t="s">
        <v>171</v>
      </c>
      <c r="C6" s="60"/>
      <c r="D6" s="60" t="s">
        <v>54</v>
      </c>
      <c r="E6" s="56"/>
      <c r="F6" s="56"/>
      <c r="G6" s="56"/>
      <c r="H6" s="56"/>
      <c r="I6" s="56"/>
      <c r="J6" s="56">
        <v>0</v>
      </c>
      <c r="K6" s="56">
        <v>0</v>
      </c>
      <c r="L6" s="56"/>
      <c r="M6" s="56"/>
      <c r="N6" s="56"/>
      <c r="O6" s="56"/>
      <c r="P6" s="56"/>
      <c r="Q6" s="57">
        <f t="shared" si="0"/>
        <v>0</v>
      </c>
    </row>
    <row r="7" spans="1:17" ht="19.5" customHeight="1" x14ac:dyDescent="0.3">
      <c r="A7" s="12">
        <v>6</v>
      </c>
      <c r="B7" s="31" t="s">
        <v>172</v>
      </c>
      <c r="C7" s="30"/>
      <c r="D7" s="30" t="s">
        <v>61</v>
      </c>
      <c r="E7" s="12"/>
      <c r="F7" s="12"/>
      <c r="G7" s="12"/>
      <c r="H7" s="12"/>
      <c r="I7" s="12"/>
      <c r="J7" s="12">
        <v>0</v>
      </c>
      <c r="K7" s="12">
        <v>0</v>
      </c>
      <c r="L7" s="12"/>
      <c r="M7" s="12"/>
      <c r="N7" s="12"/>
      <c r="O7" s="12"/>
      <c r="P7" s="12"/>
      <c r="Q7" s="20">
        <f t="shared" si="0"/>
        <v>0</v>
      </c>
    </row>
    <row r="8" spans="1:17" ht="19.5" customHeight="1" x14ac:dyDescent="0.3">
      <c r="A8" s="56">
        <v>7</v>
      </c>
      <c r="B8" s="59" t="s">
        <v>173</v>
      </c>
      <c r="C8" s="60"/>
      <c r="D8" s="60" t="s">
        <v>56</v>
      </c>
      <c r="E8" s="56"/>
      <c r="F8" s="56"/>
      <c r="G8" s="56"/>
      <c r="H8" s="56"/>
      <c r="I8" s="56"/>
      <c r="J8" s="56">
        <v>0</v>
      </c>
      <c r="K8" s="56">
        <v>13.2</v>
      </c>
      <c r="L8" s="56"/>
      <c r="M8" s="56"/>
      <c r="N8" s="56"/>
      <c r="O8" s="56"/>
      <c r="P8" s="56"/>
      <c r="Q8" s="57">
        <f t="shared" si="0"/>
        <v>13.2</v>
      </c>
    </row>
    <row r="9" spans="1:17" ht="19.5" customHeight="1" x14ac:dyDescent="0.3">
      <c r="A9" s="12">
        <v>8</v>
      </c>
      <c r="B9" s="31" t="s">
        <v>174</v>
      </c>
      <c r="C9" s="30"/>
      <c r="D9" s="30" t="s">
        <v>56</v>
      </c>
      <c r="E9" s="12"/>
      <c r="F9" s="12"/>
      <c r="G9" s="12"/>
      <c r="H9" s="12"/>
      <c r="I9" s="12"/>
      <c r="J9" s="12">
        <v>0</v>
      </c>
      <c r="K9" s="12">
        <v>7</v>
      </c>
      <c r="L9" s="12"/>
      <c r="M9" s="12"/>
      <c r="N9" s="12"/>
      <c r="O9" s="12"/>
      <c r="P9" s="12"/>
      <c r="Q9" s="20">
        <f t="shared" si="0"/>
        <v>7</v>
      </c>
    </row>
    <row r="10" spans="1:17" ht="19.5" customHeight="1" x14ac:dyDescent="0.3">
      <c r="A10" s="56">
        <v>9</v>
      </c>
      <c r="B10" s="59" t="s">
        <v>175</v>
      </c>
      <c r="C10" s="60"/>
      <c r="D10" s="60" t="s">
        <v>63</v>
      </c>
      <c r="E10" s="56"/>
      <c r="F10" s="56"/>
      <c r="G10" s="56"/>
      <c r="H10" s="56"/>
      <c r="I10" s="56"/>
      <c r="J10" s="56">
        <v>114</v>
      </c>
      <c r="K10" s="56">
        <v>0</v>
      </c>
      <c r="L10" s="56"/>
      <c r="M10" s="56"/>
      <c r="N10" s="56"/>
      <c r="O10" s="56"/>
      <c r="P10" s="56"/>
      <c r="Q10" s="57">
        <f t="shared" si="0"/>
        <v>114</v>
      </c>
    </row>
    <row r="11" spans="1:17" ht="19.5" customHeight="1" x14ac:dyDescent="0.3">
      <c r="A11" s="12">
        <v>10</v>
      </c>
      <c r="B11" s="31" t="s">
        <v>181</v>
      </c>
      <c r="C11" s="30"/>
      <c r="D11" s="30" t="s">
        <v>126</v>
      </c>
      <c r="E11" s="12"/>
      <c r="F11" s="12"/>
      <c r="G11" s="12"/>
      <c r="H11" s="12"/>
      <c r="I11" s="12"/>
      <c r="J11" s="12"/>
      <c r="K11" s="12">
        <v>0</v>
      </c>
      <c r="L11" s="12"/>
      <c r="M11" s="12"/>
      <c r="N11" s="12"/>
      <c r="O11" s="12"/>
      <c r="P11" s="12"/>
      <c r="Q11" s="20">
        <f t="shared" si="0"/>
        <v>0</v>
      </c>
    </row>
    <row r="12" spans="1:17" ht="19.5" customHeight="1" x14ac:dyDescent="0.3">
      <c r="A12" s="12">
        <v>12</v>
      </c>
      <c r="B12" s="31"/>
      <c r="C12" s="30"/>
      <c r="D12" s="30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0">
        <f t="shared" si="0"/>
        <v>0</v>
      </c>
    </row>
    <row r="13" spans="1:17" ht="19.5" customHeight="1" x14ac:dyDescent="0.3">
      <c r="A13" s="56">
        <v>13</v>
      </c>
      <c r="B13" s="59"/>
      <c r="C13" s="60"/>
      <c r="D13" s="60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7">
        <f t="shared" si="0"/>
        <v>0</v>
      </c>
    </row>
    <row r="14" spans="1:17" ht="19.5" customHeight="1" x14ac:dyDescent="0.3">
      <c r="A14" s="12">
        <v>14</v>
      </c>
      <c r="B14" s="31"/>
      <c r="C14" s="27"/>
      <c r="D14" s="3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0">
        <f t="shared" si="0"/>
        <v>0</v>
      </c>
    </row>
    <row r="15" spans="1:17" ht="19.5" customHeight="1" x14ac:dyDescent="0.3">
      <c r="A15" s="56">
        <v>15</v>
      </c>
      <c r="B15" s="59"/>
      <c r="C15" s="61"/>
      <c r="D15" s="60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7">
        <f t="shared" si="0"/>
        <v>0</v>
      </c>
    </row>
    <row r="16" spans="1:17" ht="19.5" customHeight="1" x14ac:dyDescent="0.3">
      <c r="A16" s="12">
        <v>16</v>
      </c>
      <c r="B16" s="12"/>
      <c r="C16" s="27"/>
      <c r="D16" s="30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0">
        <f t="shared" si="0"/>
        <v>0</v>
      </c>
    </row>
    <row r="17" spans="1:17" ht="19.5" customHeight="1" x14ac:dyDescent="0.3">
      <c r="A17" s="56">
        <v>17</v>
      </c>
      <c r="B17" s="59"/>
      <c r="C17" s="61"/>
      <c r="D17" s="60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7">
        <f t="shared" si="0"/>
        <v>0</v>
      </c>
    </row>
    <row r="18" spans="1:17" ht="19.5" customHeight="1" x14ac:dyDescent="0.3">
      <c r="A18" s="12">
        <v>18</v>
      </c>
      <c r="B18" s="31"/>
      <c r="C18" s="27"/>
      <c r="D18" s="30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0">
        <f t="shared" si="0"/>
        <v>0</v>
      </c>
    </row>
    <row r="19" spans="1:17" ht="19.5" customHeight="1" x14ac:dyDescent="0.3">
      <c r="A19" s="56">
        <v>19</v>
      </c>
      <c r="B19" s="59"/>
      <c r="C19" s="61"/>
      <c r="D19" s="60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7">
        <f t="shared" si="0"/>
        <v>0</v>
      </c>
    </row>
    <row r="20" spans="1:17" ht="19.5" customHeight="1" x14ac:dyDescent="0.3">
      <c r="A20" s="12">
        <v>20</v>
      </c>
      <c r="B20" s="31"/>
      <c r="C20" s="27"/>
      <c r="D20" s="3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0">
        <f t="shared" si="0"/>
        <v>0</v>
      </c>
    </row>
    <row r="21" spans="1:17" ht="19.5" customHeight="1" x14ac:dyDescent="0.3">
      <c r="A21" s="56">
        <v>21</v>
      </c>
      <c r="B21" s="59"/>
      <c r="C21" s="61"/>
      <c r="D21" s="60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7">
        <f t="shared" si="0"/>
        <v>0</v>
      </c>
    </row>
    <row r="22" spans="1:17" ht="22.5" customHeight="1" thickBot="1" x14ac:dyDescent="0.35">
      <c r="A22" s="90" t="s">
        <v>9</v>
      </c>
      <c r="B22" s="91"/>
      <c r="C22" s="91"/>
      <c r="D22" s="92"/>
      <c r="E22" s="47">
        <f>SUM(E2:E21)</f>
        <v>0</v>
      </c>
      <c r="F22" s="47">
        <f t="shared" ref="F22:P22" si="1">SUM(F2:F21)</f>
        <v>0</v>
      </c>
      <c r="G22" s="47">
        <f t="shared" si="1"/>
        <v>0</v>
      </c>
      <c r="H22" s="47">
        <f t="shared" si="1"/>
        <v>0</v>
      </c>
      <c r="I22" s="47">
        <f t="shared" si="1"/>
        <v>0</v>
      </c>
      <c r="J22" s="47">
        <f t="shared" si="1"/>
        <v>114</v>
      </c>
      <c r="K22" s="47">
        <f t="shared" si="1"/>
        <v>20.2</v>
      </c>
      <c r="L22" s="47">
        <f>SUM(L2:L21)</f>
        <v>0</v>
      </c>
      <c r="M22" s="47">
        <f t="shared" si="1"/>
        <v>0</v>
      </c>
      <c r="N22" s="47">
        <f t="shared" si="1"/>
        <v>0</v>
      </c>
      <c r="O22" s="47">
        <f t="shared" si="1"/>
        <v>0</v>
      </c>
      <c r="P22" s="47">
        <f t="shared" si="1"/>
        <v>0</v>
      </c>
      <c r="Q22" s="48">
        <f>SUM(Q2:Q21)</f>
        <v>134.19999999999999</v>
      </c>
    </row>
  </sheetData>
  <mergeCells count="1">
    <mergeCell ref="A22:D22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DFF7-B504-4F02-894C-0C44468BE816}">
  <dimension ref="A1:Q8"/>
  <sheetViews>
    <sheetView rightToLeft="1" zoomScaleNormal="100" workbookViewId="0">
      <selection activeCell="K8" sqref="K8"/>
    </sheetView>
  </sheetViews>
  <sheetFormatPr defaultColWidth="8.88671875" defaultRowHeight="14.4" x14ac:dyDescent="0.3"/>
  <cols>
    <col min="1" max="1" width="4.6640625" style="1" customWidth="1"/>
    <col min="2" max="2" width="17.109375" style="1" customWidth="1"/>
    <col min="3" max="3" width="11" style="1" customWidth="1"/>
    <col min="4" max="4" width="7.109375" style="1" customWidth="1"/>
    <col min="5" max="16" width="5.109375" style="1" customWidth="1"/>
    <col min="17" max="16384" width="8.88671875" style="1"/>
  </cols>
  <sheetData>
    <row r="1" spans="1:17" ht="23.4" customHeight="1" x14ac:dyDescent="0.3">
      <c r="A1" s="2" t="s">
        <v>0</v>
      </c>
      <c r="B1" s="2" t="s">
        <v>1</v>
      </c>
      <c r="C1" s="2" t="s">
        <v>116</v>
      </c>
      <c r="D1" s="2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 t="s">
        <v>18</v>
      </c>
    </row>
    <row r="2" spans="1:17" ht="21" customHeight="1" x14ac:dyDescent="0.3">
      <c r="A2" s="43">
        <v>1</v>
      </c>
      <c r="B2" s="44" t="s">
        <v>23</v>
      </c>
      <c r="C2" s="51"/>
      <c r="D2" s="43" t="s">
        <v>58</v>
      </c>
      <c r="E2" s="43">
        <v>0</v>
      </c>
      <c r="F2" s="43">
        <v>0</v>
      </c>
      <c r="G2" s="43">
        <v>0</v>
      </c>
      <c r="H2" s="43">
        <v>0</v>
      </c>
      <c r="I2" s="43">
        <v>0</v>
      </c>
      <c r="J2" s="43">
        <v>0</v>
      </c>
      <c r="K2" s="43">
        <v>0</v>
      </c>
      <c r="L2" s="43"/>
      <c r="M2" s="43"/>
      <c r="N2" s="43"/>
      <c r="O2" s="43"/>
      <c r="P2" s="43"/>
      <c r="Q2" s="46">
        <f>SUM(E2:P2)</f>
        <v>0</v>
      </c>
    </row>
    <row r="3" spans="1:17" ht="21" customHeight="1" x14ac:dyDescent="0.3">
      <c r="A3" s="2">
        <v>2</v>
      </c>
      <c r="B3" s="31" t="s">
        <v>24</v>
      </c>
      <c r="C3" s="24"/>
      <c r="D3" s="2" t="s">
        <v>60</v>
      </c>
      <c r="E3" s="12">
        <v>0</v>
      </c>
      <c r="F3" s="12">
        <v>0</v>
      </c>
      <c r="G3" s="12">
        <v>27</v>
      </c>
      <c r="H3" s="12">
        <v>7</v>
      </c>
      <c r="I3" s="12">
        <v>15.2</v>
      </c>
      <c r="J3" s="12">
        <v>6.5</v>
      </c>
      <c r="K3" s="12">
        <v>0</v>
      </c>
      <c r="L3" s="12"/>
      <c r="M3" s="12"/>
      <c r="N3" s="12"/>
      <c r="O3" s="12"/>
      <c r="P3" s="12"/>
      <c r="Q3" s="20">
        <f t="shared" ref="Q3:Q7" si="0">SUM(E3:P3)</f>
        <v>55.7</v>
      </c>
    </row>
    <row r="4" spans="1:17" ht="21" customHeight="1" x14ac:dyDescent="0.3">
      <c r="A4" s="43">
        <v>3</v>
      </c>
      <c r="B4" s="44" t="s">
        <v>38</v>
      </c>
      <c r="C4" s="51"/>
      <c r="D4" s="53" t="s">
        <v>54</v>
      </c>
      <c r="E4" s="43">
        <v>0</v>
      </c>
      <c r="F4" s="43">
        <v>8.5</v>
      </c>
      <c r="G4" s="43">
        <v>0</v>
      </c>
      <c r="H4" s="43">
        <v>0</v>
      </c>
      <c r="I4" s="43">
        <v>0</v>
      </c>
      <c r="J4" s="43">
        <v>0</v>
      </c>
      <c r="K4" s="43">
        <v>15.5</v>
      </c>
      <c r="L4" s="43"/>
      <c r="M4" s="43"/>
      <c r="N4" s="43"/>
      <c r="O4" s="43"/>
      <c r="P4" s="43"/>
      <c r="Q4" s="46">
        <f t="shared" si="0"/>
        <v>24</v>
      </c>
    </row>
    <row r="5" spans="1:17" ht="21" customHeight="1" x14ac:dyDescent="0.3">
      <c r="A5" s="2">
        <v>4</v>
      </c>
      <c r="B5" s="31" t="s">
        <v>50</v>
      </c>
      <c r="C5" s="24"/>
      <c r="D5" s="2" t="s">
        <v>58</v>
      </c>
      <c r="E5" s="12">
        <v>0</v>
      </c>
      <c r="F5" s="12">
        <v>0</v>
      </c>
      <c r="G5" s="12">
        <v>0</v>
      </c>
      <c r="H5" s="12">
        <v>0</v>
      </c>
      <c r="I5" s="12">
        <v>8.1999999999999993</v>
      </c>
      <c r="J5" s="12">
        <v>13.5</v>
      </c>
      <c r="K5" s="12">
        <v>0</v>
      </c>
      <c r="L5" s="12"/>
      <c r="M5" s="12"/>
      <c r="N5" s="12"/>
      <c r="O5" s="12"/>
      <c r="P5" s="12"/>
      <c r="Q5" s="20">
        <f t="shared" si="0"/>
        <v>21.7</v>
      </c>
    </row>
    <row r="6" spans="1:17" ht="21" customHeight="1" x14ac:dyDescent="0.3">
      <c r="A6" s="43">
        <v>5</v>
      </c>
      <c r="B6" s="44" t="s">
        <v>154</v>
      </c>
      <c r="C6" s="51"/>
      <c r="D6" s="43" t="s">
        <v>63</v>
      </c>
      <c r="E6" s="43">
        <v>0</v>
      </c>
      <c r="F6" s="43">
        <v>0</v>
      </c>
      <c r="G6" s="43">
        <v>0</v>
      </c>
      <c r="H6" s="43">
        <v>16</v>
      </c>
      <c r="I6" s="43">
        <v>0</v>
      </c>
      <c r="J6" s="43">
        <v>0</v>
      </c>
      <c r="K6" s="43">
        <v>0</v>
      </c>
      <c r="L6" s="43"/>
      <c r="M6" s="43"/>
      <c r="N6" s="43"/>
      <c r="O6" s="43"/>
      <c r="P6" s="43"/>
      <c r="Q6" s="46">
        <f t="shared" si="0"/>
        <v>16</v>
      </c>
    </row>
    <row r="7" spans="1:17" ht="21" customHeight="1" x14ac:dyDescent="0.3">
      <c r="A7" s="2">
        <v>6</v>
      </c>
      <c r="B7" s="31" t="s">
        <v>93</v>
      </c>
      <c r="C7" s="24"/>
      <c r="D7" s="12" t="s">
        <v>60</v>
      </c>
      <c r="E7" s="12">
        <v>2.9</v>
      </c>
      <c r="F7" s="12">
        <v>17.7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/>
      <c r="M7" s="12"/>
      <c r="N7" s="12"/>
      <c r="O7" s="12"/>
      <c r="P7" s="12"/>
      <c r="Q7" s="20">
        <f t="shared" si="0"/>
        <v>20.599999999999998</v>
      </c>
    </row>
    <row r="8" spans="1:17" ht="20.399999999999999" customHeight="1" x14ac:dyDescent="0.3">
      <c r="A8" s="84" t="s">
        <v>9</v>
      </c>
      <c r="B8" s="85"/>
      <c r="C8" s="85"/>
      <c r="D8" s="86"/>
      <c r="E8" s="3">
        <f t="shared" ref="E8:Q8" si="1">SUM(E2:E7)</f>
        <v>2.9</v>
      </c>
      <c r="F8" s="3">
        <f t="shared" si="1"/>
        <v>26.2</v>
      </c>
      <c r="G8" s="3">
        <f t="shared" si="1"/>
        <v>27</v>
      </c>
      <c r="H8" s="3">
        <f t="shared" si="1"/>
        <v>23</v>
      </c>
      <c r="I8" s="3">
        <f t="shared" si="1"/>
        <v>23.4</v>
      </c>
      <c r="J8" s="3">
        <f t="shared" si="1"/>
        <v>20</v>
      </c>
      <c r="K8" s="3">
        <f t="shared" si="1"/>
        <v>15.5</v>
      </c>
      <c r="L8" s="3">
        <f t="shared" si="1"/>
        <v>0</v>
      </c>
      <c r="M8" s="3">
        <f t="shared" si="1"/>
        <v>0</v>
      </c>
      <c r="N8" s="3">
        <f t="shared" si="1"/>
        <v>0</v>
      </c>
      <c r="O8" s="3">
        <f t="shared" si="1"/>
        <v>0</v>
      </c>
      <c r="P8" s="3">
        <f t="shared" si="1"/>
        <v>0</v>
      </c>
      <c r="Q8" s="22">
        <f t="shared" si="1"/>
        <v>138</v>
      </c>
    </row>
  </sheetData>
  <mergeCells count="1">
    <mergeCell ref="A8:D8"/>
  </mergeCells>
  <pageMargins left="0.7" right="0.7" top="0.75" bottom="0.75" header="0.3" footer="0.3"/>
  <pageSetup orientation="landscape" r:id="rId1"/>
  <headerFooter>
    <oddHeader>&amp;R&amp;20عبدل اباد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748B-F31A-420C-B726-0D3B51050376}">
  <dimension ref="A1:Q11"/>
  <sheetViews>
    <sheetView rightToLeft="1" topLeftCell="B1" zoomScaleNormal="100" workbookViewId="0">
      <selection activeCell="K9" sqref="K9"/>
    </sheetView>
  </sheetViews>
  <sheetFormatPr defaultColWidth="8.88671875" defaultRowHeight="14.4" x14ac:dyDescent="0.3"/>
  <cols>
    <col min="1" max="1" width="4.33203125" style="1" customWidth="1"/>
    <col min="2" max="2" width="16.33203125" style="1" customWidth="1"/>
    <col min="3" max="3" width="11.33203125" style="1" customWidth="1"/>
    <col min="4" max="4" width="9.77734375" style="1" customWidth="1"/>
    <col min="5" max="16" width="5.21875" style="1" customWidth="1"/>
    <col min="17" max="17" width="8.44140625" style="1" customWidth="1"/>
    <col min="18" max="16384" width="8.88671875" style="1"/>
  </cols>
  <sheetData>
    <row r="1" spans="1:17" ht="23.4" customHeight="1" x14ac:dyDescent="0.3">
      <c r="A1" s="25" t="s">
        <v>0</v>
      </c>
      <c r="B1" s="25" t="s">
        <v>1</v>
      </c>
      <c r="C1" s="25" t="s">
        <v>116</v>
      </c>
      <c r="D1" s="25" t="s">
        <v>2</v>
      </c>
      <c r="E1" s="33">
        <v>1</v>
      </c>
      <c r="F1" s="33">
        <v>2</v>
      </c>
      <c r="G1" s="33">
        <v>3</v>
      </c>
      <c r="H1" s="33">
        <v>4</v>
      </c>
      <c r="I1" s="33">
        <v>5</v>
      </c>
      <c r="J1" s="33">
        <v>6</v>
      </c>
      <c r="K1" s="33">
        <v>7</v>
      </c>
      <c r="L1" s="33">
        <v>8</v>
      </c>
      <c r="M1" s="33">
        <v>9</v>
      </c>
      <c r="N1" s="33">
        <v>10</v>
      </c>
      <c r="O1" s="33">
        <v>11</v>
      </c>
      <c r="P1" s="33">
        <v>12</v>
      </c>
      <c r="Q1" s="33" t="s">
        <v>18</v>
      </c>
    </row>
    <row r="2" spans="1:17" ht="21" customHeight="1" x14ac:dyDescent="0.3">
      <c r="A2" s="38">
        <v>1</v>
      </c>
      <c r="B2" s="38" t="s">
        <v>11</v>
      </c>
      <c r="C2" s="35"/>
      <c r="D2" s="34" t="s">
        <v>126</v>
      </c>
      <c r="E2" s="34">
        <v>0</v>
      </c>
      <c r="F2" s="34">
        <v>0</v>
      </c>
      <c r="G2" s="34">
        <v>0</v>
      </c>
      <c r="H2" s="34">
        <v>0</v>
      </c>
      <c r="I2" s="34">
        <v>0</v>
      </c>
      <c r="J2" s="34">
        <v>9.5</v>
      </c>
      <c r="K2" s="34">
        <v>82</v>
      </c>
      <c r="L2" s="34"/>
      <c r="M2" s="34"/>
      <c r="N2" s="34"/>
      <c r="O2" s="34"/>
      <c r="P2" s="34"/>
      <c r="Q2" s="36">
        <f t="shared" ref="Q2:Q10" si="0">SUM(E2:P2)</f>
        <v>91.5</v>
      </c>
    </row>
    <row r="3" spans="1:17" ht="21" customHeight="1" x14ac:dyDescent="0.3">
      <c r="A3" s="25">
        <v>2</v>
      </c>
      <c r="B3" s="25" t="s">
        <v>83</v>
      </c>
      <c r="C3" s="27"/>
      <c r="D3" s="12" t="s">
        <v>58</v>
      </c>
      <c r="E3" s="12">
        <v>0</v>
      </c>
      <c r="F3" s="12">
        <v>0</v>
      </c>
      <c r="G3" s="12">
        <v>12.3</v>
      </c>
      <c r="H3" s="12">
        <v>0</v>
      </c>
      <c r="I3" s="12">
        <v>0</v>
      </c>
      <c r="J3" s="12">
        <v>0</v>
      </c>
      <c r="K3" s="12">
        <v>0</v>
      </c>
      <c r="L3" s="12"/>
      <c r="M3" s="12"/>
      <c r="N3" s="12"/>
      <c r="O3" s="12"/>
      <c r="P3" s="12"/>
      <c r="Q3" s="26">
        <f t="shared" si="0"/>
        <v>12.3</v>
      </c>
    </row>
    <row r="4" spans="1:17" ht="21" customHeight="1" x14ac:dyDescent="0.3">
      <c r="A4" s="38">
        <v>3</v>
      </c>
      <c r="B4" s="38" t="s">
        <v>90</v>
      </c>
      <c r="C4" s="35"/>
      <c r="D4" s="34" t="s">
        <v>61</v>
      </c>
      <c r="E4" s="34">
        <v>0</v>
      </c>
      <c r="F4" s="34">
        <v>0</v>
      </c>
      <c r="G4" s="34">
        <v>0</v>
      </c>
      <c r="H4" s="34">
        <v>23</v>
      </c>
      <c r="I4" s="34">
        <v>0</v>
      </c>
      <c r="J4" s="34">
        <v>30.6</v>
      </c>
      <c r="K4" s="34">
        <v>17.399999999999999</v>
      </c>
      <c r="L4" s="34"/>
      <c r="M4" s="34"/>
      <c r="N4" s="34"/>
      <c r="O4" s="34"/>
      <c r="P4" s="34"/>
      <c r="Q4" s="36">
        <f t="shared" si="0"/>
        <v>71</v>
      </c>
    </row>
    <row r="5" spans="1:17" ht="21" customHeight="1" x14ac:dyDescent="0.3">
      <c r="A5" s="25">
        <v>4</v>
      </c>
      <c r="B5" s="28" t="s">
        <v>97</v>
      </c>
      <c r="C5" s="30"/>
      <c r="D5" s="12" t="s">
        <v>54</v>
      </c>
      <c r="E5" s="12">
        <v>0</v>
      </c>
      <c r="F5" s="12">
        <v>17.5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/>
      <c r="M5" s="12"/>
      <c r="N5" s="12"/>
      <c r="O5" s="12"/>
      <c r="P5" s="12"/>
      <c r="Q5" s="26">
        <f t="shared" si="0"/>
        <v>17.5</v>
      </c>
    </row>
    <row r="6" spans="1:17" ht="21" customHeight="1" x14ac:dyDescent="0.3">
      <c r="A6" s="38">
        <v>5</v>
      </c>
      <c r="B6" s="37" t="s">
        <v>98</v>
      </c>
      <c r="C6" s="39" t="s">
        <v>123</v>
      </c>
      <c r="D6" s="34" t="s">
        <v>54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/>
      <c r="M6" s="34"/>
      <c r="N6" s="34"/>
      <c r="O6" s="34"/>
      <c r="P6" s="34"/>
      <c r="Q6" s="36">
        <f t="shared" si="0"/>
        <v>0</v>
      </c>
    </row>
    <row r="7" spans="1:17" ht="21" customHeight="1" x14ac:dyDescent="0.3">
      <c r="A7" s="25">
        <v>6</v>
      </c>
      <c r="B7" s="28" t="s">
        <v>99</v>
      </c>
      <c r="C7" s="30"/>
      <c r="D7" s="12" t="s">
        <v>63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/>
      <c r="M7" s="12"/>
      <c r="N7" s="12"/>
      <c r="O7" s="12"/>
      <c r="P7" s="12"/>
      <c r="Q7" s="26">
        <f t="shared" si="0"/>
        <v>0</v>
      </c>
    </row>
    <row r="8" spans="1:17" ht="21" customHeight="1" x14ac:dyDescent="0.3">
      <c r="A8" s="38">
        <v>7</v>
      </c>
      <c r="B8" s="37" t="s">
        <v>100</v>
      </c>
      <c r="C8" s="39"/>
      <c r="D8" s="34" t="s">
        <v>61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/>
      <c r="M8" s="34"/>
      <c r="N8" s="34"/>
      <c r="O8" s="34"/>
      <c r="P8" s="34"/>
      <c r="Q8" s="36">
        <f t="shared" si="0"/>
        <v>0</v>
      </c>
    </row>
    <row r="9" spans="1:17" ht="21" customHeight="1" x14ac:dyDescent="0.3">
      <c r="A9" s="25">
        <v>8</v>
      </c>
      <c r="B9" s="28" t="s">
        <v>101</v>
      </c>
      <c r="C9" s="30"/>
      <c r="D9" s="12" t="s">
        <v>56</v>
      </c>
      <c r="E9" s="12">
        <v>18</v>
      </c>
      <c r="F9" s="12">
        <v>5.7</v>
      </c>
      <c r="G9" s="12">
        <v>0</v>
      </c>
      <c r="H9" s="12">
        <v>25</v>
      </c>
      <c r="I9" s="12">
        <v>0</v>
      </c>
      <c r="J9" s="12">
        <v>0</v>
      </c>
      <c r="K9" s="12">
        <v>0</v>
      </c>
      <c r="L9" s="12"/>
      <c r="M9" s="12"/>
      <c r="N9" s="12"/>
      <c r="O9" s="12"/>
      <c r="P9" s="12"/>
      <c r="Q9" s="26">
        <f t="shared" si="0"/>
        <v>48.7</v>
      </c>
    </row>
    <row r="10" spans="1:17" ht="21" customHeight="1" x14ac:dyDescent="0.3">
      <c r="A10" s="38">
        <v>9</v>
      </c>
      <c r="B10" s="38" t="s">
        <v>118</v>
      </c>
      <c r="C10" s="34"/>
      <c r="D10" s="34" t="s">
        <v>63</v>
      </c>
      <c r="E10" s="34">
        <v>12</v>
      </c>
      <c r="F10" s="34">
        <v>10</v>
      </c>
      <c r="G10" s="34">
        <v>0</v>
      </c>
      <c r="H10" s="34">
        <v>11</v>
      </c>
      <c r="I10" s="34">
        <v>4.5</v>
      </c>
      <c r="J10" s="34">
        <v>0</v>
      </c>
      <c r="K10" s="34">
        <v>0</v>
      </c>
      <c r="L10" s="34"/>
      <c r="M10" s="34"/>
      <c r="N10" s="34"/>
      <c r="O10" s="34"/>
      <c r="P10" s="34"/>
      <c r="Q10" s="36">
        <f t="shared" si="0"/>
        <v>37.5</v>
      </c>
    </row>
    <row r="11" spans="1:17" ht="20.399999999999999" customHeight="1" x14ac:dyDescent="0.3">
      <c r="A11" s="84" t="s">
        <v>9</v>
      </c>
      <c r="B11" s="85"/>
      <c r="C11" s="85"/>
      <c r="D11" s="86"/>
      <c r="E11" s="3">
        <f t="shared" ref="E11:Q11" si="1">SUM(E2:E10)</f>
        <v>30</v>
      </c>
      <c r="F11" s="3">
        <f>SUM(F2:F10)</f>
        <v>33.200000000000003</v>
      </c>
      <c r="G11" s="3">
        <f t="shared" si="1"/>
        <v>12.3</v>
      </c>
      <c r="H11" s="3">
        <f t="shared" si="1"/>
        <v>59</v>
      </c>
      <c r="I11" s="3">
        <f t="shared" si="1"/>
        <v>4.5</v>
      </c>
      <c r="J11" s="3">
        <f t="shared" si="1"/>
        <v>40.1</v>
      </c>
      <c r="K11" s="3">
        <f>SUM(K2:K10)</f>
        <v>99.4</v>
      </c>
      <c r="L11" s="3">
        <f t="shared" si="1"/>
        <v>0</v>
      </c>
      <c r="M11" s="3">
        <f t="shared" si="1"/>
        <v>0</v>
      </c>
      <c r="N11" s="3">
        <f t="shared" si="1"/>
        <v>0</v>
      </c>
      <c r="O11" s="3">
        <f t="shared" si="1"/>
        <v>0</v>
      </c>
      <c r="P11" s="3">
        <f t="shared" si="1"/>
        <v>0</v>
      </c>
      <c r="Q11" s="22">
        <f t="shared" si="1"/>
        <v>278.5</v>
      </c>
    </row>
  </sheetData>
  <mergeCells count="1">
    <mergeCell ref="A11:D11"/>
  </mergeCells>
  <pageMargins left="0.25" right="0.25" top="0.75" bottom="0.75" header="0.3" footer="0.3"/>
  <pageSetup orientation="landscape" r:id="rId1"/>
  <headerFooter>
    <oddHeader>&amp;R&amp;16گیلان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6DBC-C696-4FF8-A1CA-DDC00026473E}">
  <dimension ref="A1:Q7"/>
  <sheetViews>
    <sheetView rightToLeft="1" workbookViewId="0">
      <selection activeCell="K5" sqref="K5"/>
    </sheetView>
  </sheetViews>
  <sheetFormatPr defaultColWidth="8.88671875" defaultRowHeight="14.4" x14ac:dyDescent="0.3"/>
  <cols>
    <col min="1" max="1" width="4.33203125" style="1" customWidth="1"/>
    <col min="2" max="2" width="16.33203125" style="1" customWidth="1"/>
    <col min="3" max="3" width="11.33203125" style="1" customWidth="1"/>
    <col min="4" max="4" width="9.77734375" style="1" customWidth="1"/>
    <col min="5" max="16" width="5.21875" style="1" customWidth="1"/>
    <col min="17" max="17" width="8.44140625" style="1" customWidth="1"/>
    <col min="18" max="16384" width="8.88671875" style="1"/>
  </cols>
  <sheetData>
    <row r="1" spans="1:17" ht="23.4" customHeight="1" x14ac:dyDescent="0.3">
      <c r="A1" s="25" t="s">
        <v>0</v>
      </c>
      <c r="B1" s="25" t="s">
        <v>1</v>
      </c>
      <c r="C1" s="25" t="s">
        <v>116</v>
      </c>
      <c r="D1" s="25" t="s">
        <v>2</v>
      </c>
      <c r="E1" s="33">
        <v>1</v>
      </c>
      <c r="F1" s="33">
        <v>2</v>
      </c>
      <c r="G1" s="33">
        <v>3</v>
      </c>
      <c r="H1" s="33">
        <v>4</v>
      </c>
      <c r="I1" s="33">
        <v>5</v>
      </c>
      <c r="J1" s="33">
        <v>6</v>
      </c>
      <c r="K1" s="33">
        <v>7</v>
      </c>
      <c r="L1" s="33">
        <v>8</v>
      </c>
      <c r="M1" s="33">
        <v>9</v>
      </c>
      <c r="N1" s="33">
        <v>10</v>
      </c>
      <c r="O1" s="33">
        <v>11</v>
      </c>
      <c r="P1" s="33">
        <v>12</v>
      </c>
      <c r="Q1" s="33" t="s">
        <v>18</v>
      </c>
    </row>
    <row r="2" spans="1:17" ht="21" customHeight="1" x14ac:dyDescent="0.3">
      <c r="A2" s="38">
        <v>1</v>
      </c>
      <c r="B2" s="38" t="s">
        <v>150</v>
      </c>
      <c r="C2" s="35"/>
      <c r="D2" s="34" t="s">
        <v>120</v>
      </c>
      <c r="E2" s="34"/>
      <c r="F2" s="34"/>
      <c r="G2" s="34"/>
      <c r="H2" s="34">
        <v>0</v>
      </c>
      <c r="I2" s="34">
        <v>0</v>
      </c>
      <c r="J2" s="34">
        <v>0</v>
      </c>
      <c r="K2" s="34">
        <v>0</v>
      </c>
      <c r="L2" s="34"/>
      <c r="M2" s="34"/>
      <c r="N2" s="34"/>
      <c r="O2" s="34"/>
      <c r="P2" s="34"/>
      <c r="Q2" s="36">
        <f t="shared" ref="Q2:Q6" si="0">SUM(E2:P2)</f>
        <v>0</v>
      </c>
    </row>
    <row r="3" spans="1:17" ht="21" customHeight="1" x14ac:dyDescent="0.3">
      <c r="A3" s="25">
        <v>2</v>
      </c>
      <c r="B3" s="25" t="s">
        <v>164</v>
      </c>
      <c r="C3" s="27"/>
      <c r="D3" s="12" t="s">
        <v>165</v>
      </c>
      <c r="E3" s="12"/>
      <c r="F3" s="12"/>
      <c r="G3" s="12"/>
      <c r="H3" s="12"/>
      <c r="I3" s="12"/>
      <c r="J3" s="12"/>
      <c r="K3" s="12">
        <v>0</v>
      </c>
      <c r="L3" s="12"/>
      <c r="M3" s="12"/>
      <c r="N3" s="12"/>
      <c r="O3" s="12"/>
      <c r="P3" s="12"/>
      <c r="Q3" s="26">
        <f t="shared" si="0"/>
        <v>0</v>
      </c>
    </row>
    <row r="4" spans="1:17" ht="21" customHeight="1" x14ac:dyDescent="0.3">
      <c r="A4" s="38">
        <v>3</v>
      </c>
      <c r="B4" s="38" t="s">
        <v>176</v>
      </c>
      <c r="C4" s="35"/>
      <c r="D4" s="34" t="s">
        <v>165</v>
      </c>
      <c r="E4" s="34"/>
      <c r="F4" s="34"/>
      <c r="G4" s="34"/>
      <c r="H4" s="34"/>
      <c r="I4" s="34"/>
      <c r="J4" s="34"/>
      <c r="K4" s="34">
        <v>0</v>
      </c>
      <c r="L4" s="34"/>
      <c r="M4" s="34"/>
      <c r="N4" s="34"/>
      <c r="O4" s="34"/>
      <c r="P4" s="34"/>
      <c r="Q4" s="36">
        <f t="shared" si="0"/>
        <v>0</v>
      </c>
    </row>
    <row r="5" spans="1:17" ht="21" customHeight="1" x14ac:dyDescent="0.3">
      <c r="A5" s="25">
        <v>4</v>
      </c>
      <c r="B5" s="28"/>
      <c r="C5" s="30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26">
        <f t="shared" si="0"/>
        <v>0</v>
      </c>
    </row>
    <row r="6" spans="1:17" ht="21" customHeight="1" x14ac:dyDescent="0.3">
      <c r="A6" s="38">
        <v>5</v>
      </c>
      <c r="B6" s="37"/>
      <c r="C6" s="39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6">
        <f t="shared" si="0"/>
        <v>0</v>
      </c>
    </row>
    <row r="7" spans="1:17" ht="20.399999999999999" customHeight="1" x14ac:dyDescent="0.3">
      <c r="A7" s="84" t="s">
        <v>9</v>
      </c>
      <c r="B7" s="85"/>
      <c r="C7" s="85"/>
      <c r="D7" s="86"/>
      <c r="E7" s="3">
        <f t="shared" ref="E7:Q7" si="1">SUM(E2:E6)</f>
        <v>0</v>
      </c>
      <c r="F7" s="3">
        <f t="shared" si="1"/>
        <v>0</v>
      </c>
      <c r="G7" s="3">
        <f t="shared" si="1"/>
        <v>0</v>
      </c>
      <c r="H7" s="3">
        <f t="shared" si="1"/>
        <v>0</v>
      </c>
      <c r="I7" s="3">
        <f t="shared" si="1"/>
        <v>0</v>
      </c>
      <c r="J7" s="3">
        <f t="shared" si="1"/>
        <v>0</v>
      </c>
      <c r="K7" s="3">
        <f t="shared" si="1"/>
        <v>0</v>
      </c>
      <c r="L7" s="3">
        <f t="shared" si="1"/>
        <v>0</v>
      </c>
      <c r="M7" s="3">
        <f t="shared" si="1"/>
        <v>0</v>
      </c>
      <c r="N7" s="3">
        <f t="shared" si="1"/>
        <v>0</v>
      </c>
      <c r="O7" s="3">
        <f t="shared" si="1"/>
        <v>0</v>
      </c>
      <c r="P7" s="3">
        <f t="shared" si="1"/>
        <v>0</v>
      </c>
      <c r="Q7" s="22">
        <f t="shared" si="1"/>
        <v>0</v>
      </c>
    </row>
  </sheetData>
  <mergeCells count="1"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کاخ ولیعصر</vt:lpstr>
      <vt:lpstr>تهران</vt:lpstr>
      <vt:lpstr>شهرستان</vt:lpstr>
      <vt:lpstr>مشهد</vt:lpstr>
      <vt:lpstr>نماینده</vt:lpstr>
      <vt:lpstr>مازندران</vt:lpstr>
      <vt:lpstr>شیراز</vt:lpstr>
      <vt:lpstr>کرج</vt:lpstr>
      <vt:lpstr>جدید</vt:lpstr>
      <vt:lpstr>عبدل اباد</vt:lpstr>
      <vt:lpstr>گیلان</vt:lpstr>
      <vt:lpstr>دشتی گیلان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</dc:creator>
  <cp:lastModifiedBy>IMAN RION</cp:lastModifiedBy>
  <cp:lastPrinted>2026-09-26T08:50:41Z</cp:lastPrinted>
  <dcterms:created xsi:type="dcterms:W3CDTF">2015-06-05T18:17:20Z</dcterms:created>
  <dcterms:modified xsi:type="dcterms:W3CDTF">2026-10-24T10:50:55Z</dcterms:modified>
</cp:coreProperties>
</file>